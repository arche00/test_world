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7775" yWindow="270" windowWidth="19185" windowHeight="10185"/>
  </bookViews>
  <sheets>
    <sheet name="T" sheetId="3" r:id="rId1"/>
    <sheet name="T (2)" sheetId="5" r:id="rId2"/>
    <sheet name="Sheet4" sheetId="4" r:id="rId3"/>
  </sheets>
  <definedNames>
    <definedName name="_xlnm._FilterDatabase" localSheetId="0" hidden="1">T!$AA$1:$AA$36</definedName>
    <definedName name="_xlnm._FilterDatabase" localSheetId="1" hidden="1">'T (2)'!$AB$1:$AB$41</definedName>
  </definedNames>
  <calcPr calcId="144525"/>
</workbook>
</file>

<file path=xl/calcChain.xml><?xml version="1.0" encoding="utf-8"?>
<calcChain xmlns="http://schemas.openxmlformats.org/spreadsheetml/2006/main">
  <c r="O408" i="5" l="1"/>
  <c r="P408" i="5"/>
  <c r="Q408" i="5"/>
  <c r="R408" i="5"/>
  <c r="S408" i="5"/>
  <c r="T408" i="5"/>
  <c r="U408" i="5"/>
  <c r="V408" i="5"/>
  <c r="AD408" i="5" s="1"/>
  <c r="W408" i="5"/>
  <c r="X408" i="5"/>
  <c r="O409" i="5"/>
  <c r="P409" i="5"/>
  <c r="Q409" i="5"/>
  <c r="R409" i="5"/>
  <c r="S409" i="5"/>
  <c r="T409" i="5"/>
  <c r="U409" i="5"/>
  <c r="V409" i="5"/>
  <c r="AC409" i="5" s="1"/>
  <c r="W409" i="5"/>
  <c r="X409" i="5"/>
  <c r="O410" i="5"/>
  <c r="P410" i="5"/>
  <c r="Q410" i="5"/>
  <c r="R410" i="5"/>
  <c r="S410" i="5"/>
  <c r="T410" i="5"/>
  <c r="U410" i="5"/>
  <c r="V410" i="5"/>
  <c r="W410" i="5"/>
  <c r="X410" i="5"/>
  <c r="O411" i="5"/>
  <c r="P411" i="5"/>
  <c r="Q411" i="5"/>
  <c r="R411" i="5"/>
  <c r="S411" i="5"/>
  <c r="T411" i="5"/>
  <c r="U411" i="5"/>
  <c r="V411" i="5"/>
  <c r="AC411" i="5" s="1"/>
  <c r="W411" i="5"/>
  <c r="X411" i="5"/>
  <c r="O412" i="5"/>
  <c r="P412" i="5"/>
  <c r="Q412" i="5"/>
  <c r="R412" i="5"/>
  <c r="S412" i="5"/>
  <c r="T412" i="5"/>
  <c r="U412" i="5"/>
  <c r="V412" i="5"/>
  <c r="W412" i="5"/>
  <c r="X412" i="5"/>
  <c r="O413" i="5"/>
  <c r="P413" i="5"/>
  <c r="Q413" i="5"/>
  <c r="R413" i="5"/>
  <c r="S413" i="5"/>
  <c r="T413" i="5"/>
  <c r="U413" i="5"/>
  <c r="V413" i="5"/>
  <c r="AC413" i="5" s="1"/>
  <c r="W413" i="5"/>
  <c r="X413" i="5"/>
  <c r="O414" i="5"/>
  <c r="P414" i="5"/>
  <c r="Q414" i="5"/>
  <c r="R414" i="5"/>
  <c r="S414" i="5"/>
  <c r="T414" i="5"/>
  <c r="U414" i="5"/>
  <c r="V414" i="5"/>
  <c r="W414" i="5"/>
  <c r="X414" i="5"/>
  <c r="O415" i="5"/>
  <c r="P415" i="5"/>
  <c r="Q415" i="5"/>
  <c r="R415" i="5"/>
  <c r="S415" i="5"/>
  <c r="T415" i="5"/>
  <c r="U415" i="5"/>
  <c r="V415" i="5"/>
  <c r="AC415" i="5" s="1"/>
  <c r="W415" i="5"/>
  <c r="X415" i="5"/>
  <c r="O416" i="5"/>
  <c r="P416" i="5"/>
  <c r="Q416" i="5"/>
  <c r="R416" i="5"/>
  <c r="S416" i="5"/>
  <c r="T416" i="5"/>
  <c r="U416" i="5"/>
  <c r="V416" i="5"/>
  <c r="W416" i="5"/>
  <c r="X416" i="5"/>
  <c r="O417" i="5"/>
  <c r="P417" i="5"/>
  <c r="Q417" i="5"/>
  <c r="R417" i="5"/>
  <c r="S417" i="5"/>
  <c r="T417" i="5"/>
  <c r="U417" i="5"/>
  <c r="V417" i="5"/>
  <c r="AC417" i="5" s="1"/>
  <c r="W417" i="5"/>
  <c r="X417" i="5"/>
  <c r="O418" i="5"/>
  <c r="P418" i="5"/>
  <c r="Q418" i="5"/>
  <c r="R418" i="5"/>
  <c r="S418" i="5"/>
  <c r="T418" i="5"/>
  <c r="U418" i="5"/>
  <c r="V418" i="5"/>
  <c r="W418" i="5"/>
  <c r="X418" i="5"/>
  <c r="O419" i="5"/>
  <c r="P419" i="5"/>
  <c r="Q419" i="5"/>
  <c r="R419" i="5"/>
  <c r="S419" i="5"/>
  <c r="T419" i="5"/>
  <c r="U419" i="5"/>
  <c r="V419" i="5"/>
  <c r="AC419" i="5" s="1"/>
  <c r="W419" i="5"/>
  <c r="X419" i="5"/>
  <c r="O420" i="5"/>
  <c r="P420" i="5"/>
  <c r="Q420" i="5"/>
  <c r="R420" i="5"/>
  <c r="S420" i="5"/>
  <c r="T420" i="5"/>
  <c r="U420" i="5"/>
  <c r="V420" i="5"/>
  <c r="W420" i="5"/>
  <c r="X420" i="5"/>
  <c r="O421" i="5"/>
  <c r="P421" i="5"/>
  <c r="Q421" i="5"/>
  <c r="R421" i="5"/>
  <c r="S421" i="5"/>
  <c r="T421" i="5"/>
  <c r="U421" i="5"/>
  <c r="V421" i="5"/>
  <c r="AC421" i="5" s="1"/>
  <c r="W421" i="5"/>
  <c r="X421" i="5"/>
  <c r="O422" i="5"/>
  <c r="P422" i="5"/>
  <c r="Q422" i="5"/>
  <c r="R422" i="5"/>
  <c r="S422" i="5"/>
  <c r="T422" i="5"/>
  <c r="U422" i="5"/>
  <c r="V422" i="5"/>
  <c r="W422" i="5"/>
  <c r="X422" i="5"/>
  <c r="O423" i="5"/>
  <c r="P423" i="5"/>
  <c r="Q423" i="5"/>
  <c r="R423" i="5"/>
  <c r="S423" i="5"/>
  <c r="T423" i="5"/>
  <c r="U423" i="5"/>
  <c r="V423" i="5"/>
  <c r="AC423" i="5" s="1"/>
  <c r="W423" i="5"/>
  <c r="X423" i="5"/>
  <c r="O424" i="5"/>
  <c r="P424" i="5"/>
  <c r="Q424" i="5"/>
  <c r="R424" i="5"/>
  <c r="S424" i="5"/>
  <c r="T424" i="5"/>
  <c r="U424" i="5"/>
  <c r="V424" i="5"/>
  <c r="W424" i="5"/>
  <c r="X424" i="5"/>
  <c r="O425" i="5"/>
  <c r="P425" i="5"/>
  <c r="Q425" i="5"/>
  <c r="R425" i="5"/>
  <c r="S425" i="5"/>
  <c r="T425" i="5"/>
  <c r="U425" i="5"/>
  <c r="V425" i="5"/>
  <c r="AC425" i="5" s="1"/>
  <c r="W425" i="5"/>
  <c r="X425" i="5"/>
  <c r="O426" i="5"/>
  <c r="P426" i="5"/>
  <c r="Q426" i="5"/>
  <c r="R426" i="5"/>
  <c r="S426" i="5"/>
  <c r="T426" i="5"/>
  <c r="U426" i="5"/>
  <c r="V426" i="5"/>
  <c r="W426" i="5"/>
  <c r="X426" i="5"/>
  <c r="O427" i="5"/>
  <c r="P427" i="5"/>
  <c r="Q427" i="5"/>
  <c r="R427" i="5"/>
  <c r="S427" i="5"/>
  <c r="T427" i="5"/>
  <c r="U427" i="5"/>
  <c r="V427" i="5"/>
  <c r="AC427" i="5" s="1"/>
  <c r="W427" i="5"/>
  <c r="X427" i="5"/>
  <c r="O428" i="5"/>
  <c r="P428" i="5"/>
  <c r="Q428" i="5"/>
  <c r="R428" i="5"/>
  <c r="S428" i="5"/>
  <c r="T428" i="5"/>
  <c r="U428" i="5"/>
  <c r="V428" i="5"/>
  <c r="W428" i="5"/>
  <c r="X428" i="5"/>
  <c r="O429" i="5"/>
  <c r="P429" i="5"/>
  <c r="Q429" i="5"/>
  <c r="R429" i="5"/>
  <c r="S429" i="5"/>
  <c r="T429" i="5"/>
  <c r="U429" i="5"/>
  <c r="V429" i="5"/>
  <c r="AC429" i="5" s="1"/>
  <c r="W429" i="5"/>
  <c r="X429" i="5"/>
  <c r="O430" i="5"/>
  <c r="P430" i="5"/>
  <c r="Q430" i="5"/>
  <c r="R430" i="5"/>
  <c r="S430" i="5"/>
  <c r="T430" i="5"/>
  <c r="U430" i="5"/>
  <c r="V430" i="5"/>
  <c r="W430" i="5"/>
  <c r="X430" i="5"/>
  <c r="AB408" i="5"/>
  <c r="AC408" i="5"/>
  <c r="AB409" i="5"/>
  <c r="AD409" i="5"/>
  <c r="AB410" i="5"/>
  <c r="AC410" i="5"/>
  <c r="AB411" i="5"/>
  <c r="AD411" i="5"/>
  <c r="AB412" i="5"/>
  <c r="AC412" i="5"/>
  <c r="AB413" i="5"/>
  <c r="AD413" i="5"/>
  <c r="AB414" i="5"/>
  <c r="AC414" i="5"/>
  <c r="AB415" i="5"/>
  <c r="AD415" i="5"/>
  <c r="AB416" i="5"/>
  <c r="AC416" i="5"/>
  <c r="AB417" i="5"/>
  <c r="AD417" i="5"/>
  <c r="AB418" i="5"/>
  <c r="AC418" i="5"/>
  <c r="AB419" i="5"/>
  <c r="AD419" i="5"/>
  <c r="AB420" i="5"/>
  <c r="AC420" i="5"/>
  <c r="AB421" i="5"/>
  <c r="AD421" i="5"/>
  <c r="AB422" i="5"/>
  <c r="AC422" i="5"/>
  <c r="AB423" i="5"/>
  <c r="AD423" i="5"/>
  <c r="AB424" i="5"/>
  <c r="AC424" i="5"/>
  <c r="AB425" i="5"/>
  <c r="AD425" i="5"/>
  <c r="AB426" i="5"/>
  <c r="AC426" i="5"/>
  <c r="AB427" i="5"/>
  <c r="AD427" i="5"/>
  <c r="AB428" i="5"/>
  <c r="AC428" i="5"/>
  <c r="AB429" i="5"/>
  <c r="AD429" i="5"/>
  <c r="AB430" i="5"/>
  <c r="AC430" i="5"/>
  <c r="AA2" i="4"/>
  <c r="AA3" i="4"/>
  <c r="AA4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O2" i="4"/>
  <c r="P2" i="4"/>
  <c r="Q2" i="4"/>
  <c r="R2" i="4"/>
  <c r="S2" i="4"/>
  <c r="T2" i="4"/>
  <c r="U2" i="4"/>
  <c r="V2" i="4"/>
  <c r="W2" i="4"/>
  <c r="X2" i="4"/>
  <c r="O3" i="4"/>
  <c r="P3" i="4"/>
  <c r="Q3" i="4"/>
  <c r="R3" i="4"/>
  <c r="S3" i="4"/>
  <c r="T3" i="4"/>
  <c r="U3" i="4"/>
  <c r="V3" i="4"/>
  <c r="W3" i="4"/>
  <c r="X3" i="4"/>
  <c r="O4" i="4"/>
  <c r="P4" i="4"/>
  <c r="Q4" i="4"/>
  <c r="R4" i="4"/>
  <c r="S4" i="4"/>
  <c r="T4" i="4"/>
  <c r="U4" i="4"/>
  <c r="V4" i="4"/>
  <c r="W4" i="4"/>
  <c r="X4" i="4"/>
  <c r="O5" i="4"/>
  <c r="P5" i="4"/>
  <c r="Q5" i="4"/>
  <c r="R5" i="4"/>
  <c r="S5" i="4"/>
  <c r="T5" i="4"/>
  <c r="U5" i="4"/>
  <c r="V5" i="4"/>
  <c r="W5" i="4"/>
  <c r="X5" i="4"/>
  <c r="O6" i="4"/>
  <c r="P6" i="4"/>
  <c r="Q6" i="4"/>
  <c r="R6" i="4"/>
  <c r="S6" i="4"/>
  <c r="T6" i="4"/>
  <c r="U6" i="4"/>
  <c r="V6" i="4"/>
  <c r="W6" i="4"/>
  <c r="X6" i="4"/>
  <c r="O7" i="4"/>
  <c r="P7" i="4"/>
  <c r="Q7" i="4"/>
  <c r="R7" i="4"/>
  <c r="S7" i="4"/>
  <c r="T7" i="4"/>
  <c r="U7" i="4"/>
  <c r="V7" i="4"/>
  <c r="W7" i="4"/>
  <c r="X7" i="4"/>
  <c r="O8" i="4"/>
  <c r="P8" i="4"/>
  <c r="Q8" i="4"/>
  <c r="R8" i="4"/>
  <c r="S8" i="4"/>
  <c r="T8" i="4"/>
  <c r="U8" i="4"/>
  <c r="V8" i="4"/>
  <c r="W8" i="4"/>
  <c r="X8" i="4"/>
  <c r="O9" i="4"/>
  <c r="P9" i="4"/>
  <c r="Q9" i="4"/>
  <c r="R9" i="4"/>
  <c r="S9" i="4"/>
  <c r="T9" i="4"/>
  <c r="U9" i="4"/>
  <c r="V9" i="4"/>
  <c r="W9" i="4"/>
  <c r="X9" i="4"/>
  <c r="O10" i="4"/>
  <c r="P10" i="4"/>
  <c r="Q10" i="4"/>
  <c r="R10" i="4"/>
  <c r="S10" i="4"/>
  <c r="T10" i="4"/>
  <c r="U10" i="4"/>
  <c r="V10" i="4"/>
  <c r="W10" i="4"/>
  <c r="X10" i="4"/>
  <c r="O11" i="4"/>
  <c r="P11" i="4"/>
  <c r="Q11" i="4"/>
  <c r="R11" i="4"/>
  <c r="S11" i="4"/>
  <c r="T11" i="4"/>
  <c r="U11" i="4"/>
  <c r="V11" i="4"/>
  <c r="W11" i="4"/>
  <c r="X11" i="4"/>
  <c r="O12" i="4"/>
  <c r="P12" i="4"/>
  <c r="Q12" i="4"/>
  <c r="R12" i="4"/>
  <c r="S12" i="4"/>
  <c r="T12" i="4"/>
  <c r="U12" i="4"/>
  <c r="V12" i="4"/>
  <c r="W12" i="4"/>
  <c r="X12" i="4"/>
  <c r="O13" i="4"/>
  <c r="P13" i="4"/>
  <c r="Q13" i="4"/>
  <c r="R13" i="4"/>
  <c r="S13" i="4"/>
  <c r="T13" i="4"/>
  <c r="U13" i="4"/>
  <c r="V13" i="4"/>
  <c r="W13" i="4"/>
  <c r="X13" i="4"/>
  <c r="O14" i="4"/>
  <c r="P14" i="4"/>
  <c r="Q14" i="4"/>
  <c r="R14" i="4"/>
  <c r="S14" i="4"/>
  <c r="T14" i="4"/>
  <c r="U14" i="4"/>
  <c r="V14" i="4"/>
  <c r="W14" i="4"/>
  <c r="X14" i="4"/>
  <c r="O15" i="4"/>
  <c r="P15" i="4"/>
  <c r="Q15" i="4"/>
  <c r="R15" i="4"/>
  <c r="S15" i="4"/>
  <c r="T15" i="4"/>
  <c r="U15" i="4"/>
  <c r="V15" i="4"/>
  <c r="W15" i="4"/>
  <c r="X15" i="4"/>
  <c r="O16" i="4"/>
  <c r="P16" i="4"/>
  <c r="Q16" i="4"/>
  <c r="R16" i="4"/>
  <c r="S16" i="4"/>
  <c r="T16" i="4"/>
  <c r="U16" i="4"/>
  <c r="V16" i="4"/>
  <c r="W16" i="4"/>
  <c r="X16" i="4"/>
  <c r="O17" i="4"/>
  <c r="P17" i="4"/>
  <c r="Q17" i="4"/>
  <c r="R17" i="4"/>
  <c r="S17" i="4"/>
  <c r="T17" i="4"/>
  <c r="U17" i="4"/>
  <c r="V17" i="4"/>
  <c r="W17" i="4"/>
  <c r="X17" i="4"/>
  <c r="O18" i="4"/>
  <c r="P18" i="4"/>
  <c r="Q18" i="4"/>
  <c r="R18" i="4"/>
  <c r="S18" i="4"/>
  <c r="T18" i="4"/>
  <c r="U18" i="4"/>
  <c r="V18" i="4"/>
  <c r="W18" i="4"/>
  <c r="X18" i="4"/>
  <c r="O19" i="4"/>
  <c r="P19" i="4"/>
  <c r="Q19" i="4"/>
  <c r="R19" i="4"/>
  <c r="S19" i="4"/>
  <c r="T19" i="4"/>
  <c r="U19" i="4"/>
  <c r="V19" i="4"/>
  <c r="W19" i="4"/>
  <c r="X19" i="4"/>
  <c r="O20" i="4"/>
  <c r="P20" i="4"/>
  <c r="Q20" i="4"/>
  <c r="R20" i="4"/>
  <c r="S20" i="4"/>
  <c r="T20" i="4"/>
  <c r="U20" i="4"/>
  <c r="V20" i="4"/>
  <c r="W20" i="4"/>
  <c r="X20" i="4"/>
  <c r="O21" i="4"/>
  <c r="P21" i="4"/>
  <c r="Q21" i="4"/>
  <c r="R21" i="4"/>
  <c r="S21" i="4"/>
  <c r="T21" i="4"/>
  <c r="U21" i="4"/>
  <c r="V21" i="4"/>
  <c r="W21" i="4"/>
  <c r="X21" i="4"/>
  <c r="O22" i="4"/>
  <c r="P22" i="4"/>
  <c r="Q22" i="4"/>
  <c r="R22" i="4"/>
  <c r="S22" i="4"/>
  <c r="T22" i="4"/>
  <c r="U22" i="4"/>
  <c r="V22" i="4"/>
  <c r="W22" i="4"/>
  <c r="X22" i="4"/>
  <c r="O23" i="4"/>
  <c r="P23" i="4"/>
  <c r="Q23" i="4"/>
  <c r="R23" i="4"/>
  <c r="S23" i="4"/>
  <c r="T23" i="4"/>
  <c r="U23" i="4"/>
  <c r="V23" i="4"/>
  <c r="W23" i="4"/>
  <c r="X23" i="4"/>
  <c r="O24" i="4"/>
  <c r="P24" i="4"/>
  <c r="Q24" i="4"/>
  <c r="R24" i="4"/>
  <c r="S24" i="4"/>
  <c r="T24" i="4"/>
  <c r="U24" i="4"/>
  <c r="V24" i="4"/>
  <c r="W24" i="4"/>
  <c r="X24" i="4"/>
  <c r="AA431" i="3"/>
  <c r="AA432" i="3"/>
  <c r="AA433" i="3"/>
  <c r="AA434" i="3"/>
  <c r="AA435" i="3"/>
  <c r="AA436" i="3"/>
  <c r="AA437" i="3"/>
  <c r="AA438" i="3"/>
  <c r="AA439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O408" i="3"/>
  <c r="P408" i="3"/>
  <c r="Q408" i="3"/>
  <c r="R408" i="3"/>
  <c r="S408" i="3"/>
  <c r="T408" i="3"/>
  <c r="U408" i="3"/>
  <c r="V408" i="3"/>
  <c r="W408" i="3"/>
  <c r="X408" i="3"/>
  <c r="O409" i="3"/>
  <c r="P409" i="3"/>
  <c r="Q409" i="3"/>
  <c r="R409" i="3"/>
  <c r="S409" i="3"/>
  <c r="T409" i="3"/>
  <c r="U409" i="3"/>
  <c r="V409" i="3"/>
  <c r="W409" i="3"/>
  <c r="X409" i="3"/>
  <c r="O410" i="3"/>
  <c r="P410" i="3"/>
  <c r="Q410" i="3"/>
  <c r="R410" i="3"/>
  <c r="S410" i="3"/>
  <c r="T410" i="3"/>
  <c r="U410" i="3"/>
  <c r="V410" i="3"/>
  <c r="W410" i="3"/>
  <c r="X410" i="3"/>
  <c r="O411" i="3"/>
  <c r="P411" i="3"/>
  <c r="Q411" i="3"/>
  <c r="R411" i="3"/>
  <c r="S411" i="3"/>
  <c r="T411" i="3"/>
  <c r="U411" i="3"/>
  <c r="V411" i="3"/>
  <c r="W411" i="3"/>
  <c r="X411" i="3"/>
  <c r="O412" i="3"/>
  <c r="P412" i="3"/>
  <c r="Q412" i="3"/>
  <c r="R412" i="3"/>
  <c r="S412" i="3"/>
  <c r="T412" i="3"/>
  <c r="U412" i="3"/>
  <c r="V412" i="3"/>
  <c r="W412" i="3"/>
  <c r="X412" i="3"/>
  <c r="O413" i="3"/>
  <c r="P413" i="3"/>
  <c r="Q413" i="3"/>
  <c r="R413" i="3"/>
  <c r="S413" i="3"/>
  <c r="T413" i="3"/>
  <c r="U413" i="3"/>
  <c r="V413" i="3"/>
  <c r="W413" i="3"/>
  <c r="X413" i="3"/>
  <c r="O414" i="3"/>
  <c r="P414" i="3"/>
  <c r="Q414" i="3"/>
  <c r="R414" i="3"/>
  <c r="S414" i="3"/>
  <c r="T414" i="3"/>
  <c r="U414" i="3"/>
  <c r="V414" i="3"/>
  <c r="W414" i="3"/>
  <c r="X414" i="3"/>
  <c r="O415" i="3"/>
  <c r="P415" i="3"/>
  <c r="Q415" i="3"/>
  <c r="R415" i="3"/>
  <c r="S415" i="3"/>
  <c r="T415" i="3"/>
  <c r="U415" i="3"/>
  <c r="V415" i="3"/>
  <c r="W415" i="3"/>
  <c r="X415" i="3"/>
  <c r="O416" i="3"/>
  <c r="P416" i="3"/>
  <c r="Q416" i="3"/>
  <c r="R416" i="3"/>
  <c r="S416" i="3"/>
  <c r="T416" i="3"/>
  <c r="U416" i="3"/>
  <c r="V416" i="3"/>
  <c r="W416" i="3"/>
  <c r="X416" i="3"/>
  <c r="O417" i="3"/>
  <c r="P417" i="3"/>
  <c r="Q417" i="3"/>
  <c r="R417" i="3"/>
  <c r="S417" i="3"/>
  <c r="T417" i="3"/>
  <c r="U417" i="3"/>
  <c r="V417" i="3"/>
  <c r="W417" i="3"/>
  <c r="X417" i="3"/>
  <c r="O418" i="3"/>
  <c r="P418" i="3"/>
  <c r="Q418" i="3"/>
  <c r="R418" i="3"/>
  <c r="S418" i="3"/>
  <c r="T418" i="3"/>
  <c r="U418" i="3"/>
  <c r="V418" i="3"/>
  <c r="W418" i="3"/>
  <c r="X418" i="3"/>
  <c r="O419" i="3"/>
  <c r="P419" i="3"/>
  <c r="Q419" i="3"/>
  <c r="R419" i="3"/>
  <c r="S419" i="3"/>
  <c r="T419" i="3"/>
  <c r="U419" i="3"/>
  <c r="V419" i="3"/>
  <c r="W419" i="3"/>
  <c r="X419" i="3"/>
  <c r="O420" i="3"/>
  <c r="P420" i="3"/>
  <c r="Q420" i="3"/>
  <c r="R420" i="3"/>
  <c r="S420" i="3"/>
  <c r="T420" i="3"/>
  <c r="U420" i="3"/>
  <c r="V420" i="3"/>
  <c r="W420" i="3"/>
  <c r="X420" i="3"/>
  <c r="O421" i="3"/>
  <c r="P421" i="3"/>
  <c r="Q421" i="3"/>
  <c r="R421" i="3"/>
  <c r="S421" i="3"/>
  <c r="T421" i="3"/>
  <c r="U421" i="3"/>
  <c r="V421" i="3"/>
  <c r="W421" i="3"/>
  <c r="X421" i="3"/>
  <c r="O422" i="3"/>
  <c r="P422" i="3"/>
  <c r="Q422" i="3"/>
  <c r="R422" i="3"/>
  <c r="S422" i="3"/>
  <c r="T422" i="3"/>
  <c r="U422" i="3"/>
  <c r="V422" i="3"/>
  <c r="W422" i="3"/>
  <c r="X422" i="3"/>
  <c r="O423" i="3"/>
  <c r="P423" i="3"/>
  <c r="Q423" i="3"/>
  <c r="R423" i="3"/>
  <c r="S423" i="3"/>
  <c r="T423" i="3"/>
  <c r="U423" i="3"/>
  <c r="V423" i="3"/>
  <c r="W423" i="3"/>
  <c r="X423" i="3"/>
  <c r="O424" i="3"/>
  <c r="P424" i="3"/>
  <c r="Q424" i="3"/>
  <c r="R424" i="3"/>
  <c r="S424" i="3"/>
  <c r="T424" i="3"/>
  <c r="U424" i="3"/>
  <c r="V424" i="3"/>
  <c r="W424" i="3"/>
  <c r="X424" i="3"/>
  <c r="O425" i="3"/>
  <c r="P425" i="3"/>
  <c r="Q425" i="3"/>
  <c r="R425" i="3"/>
  <c r="S425" i="3"/>
  <c r="T425" i="3"/>
  <c r="U425" i="3"/>
  <c r="V425" i="3"/>
  <c r="W425" i="3"/>
  <c r="X425" i="3"/>
  <c r="O426" i="3"/>
  <c r="P426" i="3"/>
  <c r="Q426" i="3"/>
  <c r="R426" i="3"/>
  <c r="S426" i="3"/>
  <c r="T426" i="3"/>
  <c r="U426" i="3"/>
  <c r="V426" i="3"/>
  <c r="W426" i="3"/>
  <c r="X426" i="3"/>
  <c r="O427" i="3"/>
  <c r="P427" i="3"/>
  <c r="Q427" i="3"/>
  <c r="R427" i="3"/>
  <c r="S427" i="3"/>
  <c r="T427" i="3"/>
  <c r="U427" i="3"/>
  <c r="V427" i="3"/>
  <c r="W427" i="3"/>
  <c r="X427" i="3"/>
  <c r="O428" i="3"/>
  <c r="P428" i="3"/>
  <c r="Q428" i="3"/>
  <c r="R428" i="3"/>
  <c r="S428" i="3"/>
  <c r="T428" i="3"/>
  <c r="U428" i="3"/>
  <c r="V428" i="3"/>
  <c r="W428" i="3"/>
  <c r="X428" i="3"/>
  <c r="O429" i="3"/>
  <c r="P429" i="3"/>
  <c r="Q429" i="3"/>
  <c r="R429" i="3"/>
  <c r="S429" i="3"/>
  <c r="T429" i="3"/>
  <c r="U429" i="3"/>
  <c r="V429" i="3"/>
  <c r="W429" i="3"/>
  <c r="X429" i="3"/>
  <c r="O430" i="3"/>
  <c r="P430" i="3"/>
  <c r="Q430" i="3"/>
  <c r="R430" i="3"/>
  <c r="S430" i="3"/>
  <c r="T430" i="3"/>
  <c r="U430" i="3"/>
  <c r="V430" i="3"/>
  <c r="W430" i="3"/>
  <c r="X430" i="3"/>
  <c r="AD430" i="5" l="1"/>
  <c r="AD428" i="5"/>
  <c r="AD426" i="5"/>
  <c r="AD424" i="5"/>
  <c r="AD422" i="5"/>
  <c r="AD420" i="5"/>
  <c r="AD418" i="5"/>
  <c r="AD416" i="5"/>
  <c r="AD414" i="5"/>
  <c r="AD412" i="5"/>
  <c r="AD410" i="5"/>
  <c r="AA412" i="3"/>
  <c r="AA413" i="3"/>
  <c r="AA414" i="3"/>
  <c r="AA415" i="3"/>
  <c r="AA416" i="3"/>
  <c r="AA408" i="3"/>
  <c r="AA409" i="3"/>
  <c r="AA410" i="3"/>
  <c r="AA411" i="3"/>
  <c r="AB321" i="5" l="1"/>
  <c r="AB322" i="5"/>
  <c r="AB323" i="5"/>
  <c r="AB324" i="5"/>
  <c r="AB325" i="5"/>
  <c r="AB326" i="5"/>
  <c r="AB327" i="5"/>
  <c r="AB328" i="5"/>
  <c r="AB329" i="5"/>
  <c r="AB330" i="5"/>
  <c r="AB331" i="5"/>
  <c r="AB332" i="5"/>
  <c r="AB333" i="5"/>
  <c r="AB334" i="5"/>
  <c r="AB335" i="5"/>
  <c r="AB336" i="5"/>
  <c r="AB337" i="5"/>
  <c r="AB338" i="5"/>
  <c r="AB339" i="5"/>
  <c r="AB340" i="5"/>
  <c r="AB341" i="5"/>
  <c r="AB342" i="5"/>
  <c r="AB343" i="5"/>
  <c r="AB344" i="5"/>
  <c r="AB345" i="5"/>
  <c r="AB346" i="5"/>
  <c r="AB347" i="5"/>
  <c r="AB348" i="5"/>
  <c r="AB349" i="5"/>
  <c r="AB350" i="5"/>
  <c r="AB351" i="5"/>
  <c r="AB352" i="5"/>
  <c r="AB353" i="5"/>
  <c r="AB354" i="5"/>
  <c r="AB355" i="5"/>
  <c r="AB356" i="5"/>
  <c r="AB357" i="5"/>
  <c r="AB358" i="5"/>
  <c r="AB359" i="5"/>
  <c r="AB360" i="5"/>
  <c r="AB361" i="5"/>
  <c r="AB362" i="5"/>
  <c r="AB363" i="5"/>
  <c r="AB364" i="5"/>
  <c r="AB365" i="5"/>
  <c r="AB366" i="5"/>
  <c r="AB367" i="5"/>
  <c r="AB368" i="5"/>
  <c r="AB369" i="5"/>
  <c r="AB370" i="5"/>
  <c r="AB371" i="5"/>
  <c r="AB372" i="5"/>
  <c r="AB373" i="5"/>
  <c r="AB374" i="5"/>
  <c r="AB375" i="5"/>
  <c r="AB376" i="5"/>
  <c r="AB377" i="5"/>
  <c r="AB378" i="5"/>
  <c r="AB379" i="5"/>
  <c r="AB380" i="5"/>
  <c r="AB381" i="5"/>
  <c r="AB382" i="5"/>
  <c r="AB383" i="5"/>
  <c r="AB384" i="5"/>
  <c r="AB385" i="5"/>
  <c r="AB386" i="5"/>
  <c r="AB387" i="5"/>
  <c r="AB388" i="5"/>
  <c r="AB389" i="5"/>
  <c r="AB390" i="5"/>
  <c r="AB391" i="5"/>
  <c r="AB392" i="5"/>
  <c r="AB393" i="5"/>
  <c r="AB394" i="5"/>
  <c r="AB395" i="5"/>
  <c r="AB396" i="5"/>
  <c r="AB397" i="5"/>
  <c r="AB398" i="5"/>
  <c r="AB399" i="5"/>
  <c r="AB400" i="5"/>
  <c r="AB401" i="5"/>
  <c r="AB402" i="5"/>
  <c r="AB403" i="5"/>
  <c r="AB404" i="5"/>
  <c r="AB405" i="5"/>
  <c r="AB406" i="5"/>
  <c r="AB407" i="5"/>
  <c r="O321" i="5"/>
  <c r="P321" i="5"/>
  <c r="Q321" i="5"/>
  <c r="R321" i="5"/>
  <c r="S321" i="5"/>
  <c r="T321" i="5"/>
  <c r="U321" i="5"/>
  <c r="AC321" i="5" s="1"/>
  <c r="V321" i="5"/>
  <c r="W321" i="5"/>
  <c r="X321" i="5"/>
  <c r="O322" i="5"/>
  <c r="P322" i="5"/>
  <c r="Q322" i="5"/>
  <c r="R322" i="5"/>
  <c r="S322" i="5"/>
  <c r="T322" i="5"/>
  <c r="U322" i="5"/>
  <c r="AC322" i="5" s="1"/>
  <c r="V322" i="5"/>
  <c r="W322" i="5"/>
  <c r="X322" i="5"/>
  <c r="O323" i="5"/>
  <c r="P323" i="5"/>
  <c r="Q323" i="5"/>
  <c r="R323" i="5"/>
  <c r="S323" i="5"/>
  <c r="T323" i="5"/>
  <c r="U323" i="5"/>
  <c r="AD323" i="5" s="1"/>
  <c r="V323" i="5"/>
  <c r="W323" i="5"/>
  <c r="X323" i="5"/>
  <c r="O324" i="5"/>
  <c r="P324" i="5"/>
  <c r="Q324" i="5"/>
  <c r="R324" i="5"/>
  <c r="S324" i="5"/>
  <c r="T324" i="5"/>
  <c r="U324" i="5"/>
  <c r="AC324" i="5" s="1"/>
  <c r="V324" i="5"/>
  <c r="W324" i="5"/>
  <c r="X324" i="5"/>
  <c r="O325" i="5"/>
  <c r="P325" i="5"/>
  <c r="Q325" i="5"/>
  <c r="R325" i="5"/>
  <c r="S325" i="5"/>
  <c r="T325" i="5"/>
  <c r="U325" i="5"/>
  <c r="AD325" i="5" s="1"/>
  <c r="V325" i="5"/>
  <c r="W325" i="5"/>
  <c r="AC325" i="5" s="1"/>
  <c r="X325" i="5"/>
  <c r="O326" i="5"/>
  <c r="P326" i="5"/>
  <c r="Q326" i="5"/>
  <c r="R326" i="5"/>
  <c r="S326" i="5"/>
  <c r="T326" i="5"/>
  <c r="U326" i="5"/>
  <c r="AC326" i="5" s="1"/>
  <c r="V326" i="5"/>
  <c r="W326" i="5"/>
  <c r="X326" i="5"/>
  <c r="O327" i="5"/>
  <c r="P327" i="5"/>
  <c r="Q327" i="5"/>
  <c r="R327" i="5"/>
  <c r="S327" i="5"/>
  <c r="T327" i="5"/>
  <c r="U327" i="5"/>
  <c r="AC327" i="5" s="1"/>
  <c r="V327" i="5"/>
  <c r="W327" i="5"/>
  <c r="X327" i="5"/>
  <c r="O328" i="5"/>
  <c r="P328" i="5"/>
  <c r="Q328" i="5"/>
  <c r="R328" i="5"/>
  <c r="S328" i="5"/>
  <c r="T328" i="5"/>
  <c r="U328" i="5"/>
  <c r="AC328" i="5" s="1"/>
  <c r="V328" i="5"/>
  <c r="W328" i="5"/>
  <c r="X328" i="5"/>
  <c r="O329" i="5"/>
  <c r="P329" i="5"/>
  <c r="Q329" i="5"/>
  <c r="R329" i="5"/>
  <c r="S329" i="5"/>
  <c r="T329" i="5"/>
  <c r="U329" i="5"/>
  <c r="AD329" i="5" s="1"/>
  <c r="V329" i="5"/>
  <c r="AC329" i="5" s="1"/>
  <c r="W329" i="5"/>
  <c r="X329" i="5"/>
  <c r="O330" i="5"/>
  <c r="P330" i="5"/>
  <c r="Q330" i="5"/>
  <c r="R330" i="5"/>
  <c r="S330" i="5"/>
  <c r="T330" i="5"/>
  <c r="U330" i="5"/>
  <c r="AD330" i="5" s="1"/>
  <c r="V330" i="5"/>
  <c r="W330" i="5"/>
  <c r="X330" i="5"/>
  <c r="O331" i="5"/>
  <c r="P331" i="5"/>
  <c r="Q331" i="5"/>
  <c r="R331" i="5"/>
  <c r="S331" i="5"/>
  <c r="T331" i="5"/>
  <c r="U331" i="5"/>
  <c r="AD331" i="5" s="1"/>
  <c r="V331" i="5"/>
  <c r="W331" i="5"/>
  <c r="X331" i="5"/>
  <c r="O332" i="5"/>
  <c r="P332" i="5"/>
  <c r="Q332" i="5"/>
  <c r="R332" i="5"/>
  <c r="S332" i="5"/>
  <c r="T332" i="5"/>
  <c r="U332" i="5"/>
  <c r="AC332" i="5" s="1"/>
  <c r="V332" i="5"/>
  <c r="W332" i="5"/>
  <c r="X332" i="5"/>
  <c r="O333" i="5"/>
  <c r="P333" i="5"/>
  <c r="Q333" i="5"/>
  <c r="R333" i="5"/>
  <c r="S333" i="5"/>
  <c r="T333" i="5"/>
  <c r="U333" i="5"/>
  <c r="AD333" i="5" s="1"/>
  <c r="V333" i="5"/>
  <c r="W333" i="5"/>
  <c r="AC333" i="5" s="1"/>
  <c r="X333" i="5"/>
  <c r="O334" i="5"/>
  <c r="P334" i="5"/>
  <c r="Q334" i="5"/>
  <c r="R334" i="5"/>
  <c r="S334" i="5"/>
  <c r="T334" i="5"/>
  <c r="U334" i="5"/>
  <c r="AC334" i="5" s="1"/>
  <c r="V334" i="5"/>
  <c r="W334" i="5"/>
  <c r="X334" i="5"/>
  <c r="O335" i="5"/>
  <c r="P335" i="5"/>
  <c r="Q335" i="5"/>
  <c r="R335" i="5"/>
  <c r="S335" i="5"/>
  <c r="T335" i="5"/>
  <c r="U335" i="5"/>
  <c r="AC335" i="5" s="1"/>
  <c r="V335" i="5"/>
  <c r="W335" i="5"/>
  <c r="X335" i="5"/>
  <c r="O336" i="5"/>
  <c r="P336" i="5"/>
  <c r="Q336" i="5"/>
  <c r="R336" i="5"/>
  <c r="S336" i="5"/>
  <c r="T336" i="5"/>
  <c r="U336" i="5"/>
  <c r="AC336" i="5" s="1"/>
  <c r="V336" i="5"/>
  <c r="W336" i="5"/>
  <c r="X336" i="5"/>
  <c r="O337" i="5"/>
  <c r="P337" i="5"/>
  <c r="Q337" i="5"/>
  <c r="R337" i="5"/>
  <c r="S337" i="5"/>
  <c r="T337" i="5"/>
  <c r="U337" i="5"/>
  <c r="AD337" i="5" s="1"/>
  <c r="V337" i="5"/>
  <c r="AC337" i="5" s="1"/>
  <c r="W337" i="5"/>
  <c r="X337" i="5"/>
  <c r="O338" i="5"/>
  <c r="P338" i="5"/>
  <c r="Q338" i="5"/>
  <c r="R338" i="5"/>
  <c r="S338" i="5"/>
  <c r="T338" i="5"/>
  <c r="U338" i="5"/>
  <c r="AC338" i="5" s="1"/>
  <c r="V338" i="5"/>
  <c r="W338" i="5"/>
  <c r="X338" i="5"/>
  <c r="O339" i="5"/>
  <c r="P339" i="5"/>
  <c r="Q339" i="5"/>
  <c r="R339" i="5"/>
  <c r="S339" i="5"/>
  <c r="T339" i="5"/>
  <c r="U339" i="5"/>
  <c r="AD339" i="5" s="1"/>
  <c r="V339" i="5"/>
  <c r="W339" i="5"/>
  <c r="X339" i="5"/>
  <c r="O340" i="5"/>
  <c r="P340" i="5"/>
  <c r="Q340" i="5"/>
  <c r="R340" i="5"/>
  <c r="S340" i="5"/>
  <c r="T340" i="5"/>
  <c r="U340" i="5"/>
  <c r="AC340" i="5" s="1"/>
  <c r="V340" i="5"/>
  <c r="W340" i="5"/>
  <c r="X340" i="5"/>
  <c r="O341" i="5"/>
  <c r="P341" i="5"/>
  <c r="Q341" i="5"/>
  <c r="R341" i="5"/>
  <c r="S341" i="5"/>
  <c r="T341" i="5"/>
  <c r="U341" i="5"/>
  <c r="AD341" i="5" s="1"/>
  <c r="V341" i="5"/>
  <c r="W341" i="5"/>
  <c r="AC341" i="5" s="1"/>
  <c r="X341" i="5"/>
  <c r="O342" i="5"/>
  <c r="P342" i="5"/>
  <c r="Q342" i="5"/>
  <c r="R342" i="5"/>
  <c r="S342" i="5"/>
  <c r="T342" i="5"/>
  <c r="U342" i="5"/>
  <c r="AC342" i="5" s="1"/>
  <c r="V342" i="5"/>
  <c r="W342" i="5"/>
  <c r="X342" i="5"/>
  <c r="O343" i="5"/>
  <c r="P343" i="5"/>
  <c r="Q343" i="5"/>
  <c r="R343" i="5"/>
  <c r="S343" i="5"/>
  <c r="T343" i="5"/>
  <c r="U343" i="5"/>
  <c r="AC343" i="5" s="1"/>
  <c r="V343" i="5"/>
  <c r="W343" i="5"/>
  <c r="X343" i="5"/>
  <c r="O344" i="5"/>
  <c r="P344" i="5"/>
  <c r="Q344" i="5"/>
  <c r="R344" i="5"/>
  <c r="S344" i="5"/>
  <c r="T344" i="5"/>
  <c r="U344" i="5"/>
  <c r="AC344" i="5" s="1"/>
  <c r="V344" i="5"/>
  <c r="W344" i="5"/>
  <c r="X344" i="5"/>
  <c r="O345" i="5"/>
  <c r="P345" i="5"/>
  <c r="Q345" i="5"/>
  <c r="R345" i="5"/>
  <c r="S345" i="5"/>
  <c r="T345" i="5"/>
  <c r="U345" i="5"/>
  <c r="AD345" i="5" s="1"/>
  <c r="V345" i="5"/>
  <c r="AC345" i="5" s="1"/>
  <c r="W345" i="5"/>
  <c r="X345" i="5"/>
  <c r="O346" i="5"/>
  <c r="P346" i="5"/>
  <c r="Q346" i="5"/>
  <c r="R346" i="5"/>
  <c r="S346" i="5"/>
  <c r="T346" i="5"/>
  <c r="U346" i="5"/>
  <c r="AC346" i="5" s="1"/>
  <c r="V346" i="5"/>
  <c r="W346" i="5"/>
  <c r="X346" i="5"/>
  <c r="O347" i="5"/>
  <c r="P347" i="5"/>
  <c r="Q347" i="5"/>
  <c r="R347" i="5"/>
  <c r="S347" i="5"/>
  <c r="T347" i="5"/>
  <c r="U347" i="5"/>
  <c r="AD347" i="5" s="1"/>
  <c r="V347" i="5"/>
  <c r="W347" i="5"/>
  <c r="X347" i="5"/>
  <c r="O348" i="5"/>
  <c r="P348" i="5"/>
  <c r="Q348" i="5"/>
  <c r="R348" i="5"/>
  <c r="S348" i="5"/>
  <c r="T348" i="5"/>
  <c r="U348" i="5"/>
  <c r="AC348" i="5" s="1"/>
  <c r="V348" i="5"/>
  <c r="W348" i="5"/>
  <c r="X348" i="5"/>
  <c r="O349" i="5"/>
  <c r="P349" i="5"/>
  <c r="Q349" i="5"/>
  <c r="R349" i="5"/>
  <c r="S349" i="5"/>
  <c r="T349" i="5"/>
  <c r="U349" i="5"/>
  <c r="AD349" i="5" s="1"/>
  <c r="V349" i="5"/>
  <c r="W349" i="5"/>
  <c r="AC349" i="5" s="1"/>
  <c r="X349" i="5"/>
  <c r="O350" i="5"/>
  <c r="P350" i="5"/>
  <c r="Q350" i="5"/>
  <c r="R350" i="5"/>
  <c r="S350" i="5"/>
  <c r="T350" i="5"/>
  <c r="U350" i="5"/>
  <c r="AC350" i="5" s="1"/>
  <c r="V350" i="5"/>
  <c r="W350" i="5"/>
  <c r="X350" i="5"/>
  <c r="O351" i="5"/>
  <c r="P351" i="5"/>
  <c r="Q351" i="5"/>
  <c r="R351" i="5"/>
  <c r="S351" i="5"/>
  <c r="T351" i="5"/>
  <c r="U351" i="5"/>
  <c r="AC351" i="5" s="1"/>
  <c r="V351" i="5"/>
  <c r="W351" i="5"/>
  <c r="X351" i="5"/>
  <c r="O352" i="5"/>
  <c r="P352" i="5"/>
  <c r="Q352" i="5"/>
  <c r="R352" i="5"/>
  <c r="S352" i="5"/>
  <c r="T352" i="5"/>
  <c r="U352" i="5"/>
  <c r="AC352" i="5" s="1"/>
  <c r="V352" i="5"/>
  <c r="W352" i="5"/>
  <c r="X352" i="5"/>
  <c r="O353" i="5"/>
  <c r="P353" i="5"/>
  <c r="Q353" i="5"/>
  <c r="R353" i="5"/>
  <c r="S353" i="5"/>
  <c r="T353" i="5"/>
  <c r="U353" i="5"/>
  <c r="AD353" i="5" s="1"/>
  <c r="V353" i="5"/>
  <c r="AC353" i="5" s="1"/>
  <c r="W353" i="5"/>
  <c r="X353" i="5"/>
  <c r="O354" i="5"/>
  <c r="P354" i="5"/>
  <c r="Q354" i="5"/>
  <c r="R354" i="5"/>
  <c r="S354" i="5"/>
  <c r="T354" i="5"/>
  <c r="U354" i="5"/>
  <c r="AD354" i="5" s="1"/>
  <c r="V354" i="5"/>
  <c r="W354" i="5"/>
  <c r="X354" i="5"/>
  <c r="O355" i="5"/>
  <c r="P355" i="5"/>
  <c r="Q355" i="5"/>
  <c r="R355" i="5"/>
  <c r="S355" i="5"/>
  <c r="T355" i="5"/>
  <c r="U355" i="5"/>
  <c r="AD355" i="5" s="1"/>
  <c r="V355" i="5"/>
  <c r="W355" i="5"/>
  <c r="X355" i="5"/>
  <c r="O356" i="5"/>
  <c r="P356" i="5"/>
  <c r="Q356" i="5"/>
  <c r="R356" i="5"/>
  <c r="S356" i="5"/>
  <c r="T356" i="5"/>
  <c r="U356" i="5"/>
  <c r="AC356" i="5" s="1"/>
  <c r="V356" i="5"/>
  <c r="W356" i="5"/>
  <c r="X356" i="5"/>
  <c r="O357" i="5"/>
  <c r="P357" i="5"/>
  <c r="Q357" i="5"/>
  <c r="R357" i="5"/>
  <c r="S357" i="5"/>
  <c r="T357" i="5"/>
  <c r="U357" i="5"/>
  <c r="AD357" i="5" s="1"/>
  <c r="V357" i="5"/>
  <c r="W357" i="5"/>
  <c r="AC357" i="5" s="1"/>
  <c r="X357" i="5"/>
  <c r="O358" i="5"/>
  <c r="P358" i="5"/>
  <c r="Q358" i="5"/>
  <c r="R358" i="5"/>
  <c r="S358" i="5"/>
  <c r="T358" i="5"/>
  <c r="U358" i="5"/>
  <c r="AC358" i="5" s="1"/>
  <c r="V358" i="5"/>
  <c r="W358" i="5"/>
  <c r="X358" i="5"/>
  <c r="O359" i="5"/>
  <c r="P359" i="5"/>
  <c r="Q359" i="5"/>
  <c r="R359" i="5"/>
  <c r="S359" i="5"/>
  <c r="T359" i="5"/>
  <c r="U359" i="5"/>
  <c r="AC359" i="5" s="1"/>
  <c r="V359" i="5"/>
  <c r="W359" i="5"/>
  <c r="X359" i="5"/>
  <c r="O360" i="5"/>
  <c r="P360" i="5"/>
  <c r="Q360" i="5"/>
  <c r="R360" i="5"/>
  <c r="S360" i="5"/>
  <c r="T360" i="5"/>
  <c r="U360" i="5"/>
  <c r="AC360" i="5" s="1"/>
  <c r="V360" i="5"/>
  <c r="W360" i="5"/>
  <c r="X360" i="5"/>
  <c r="O361" i="5"/>
  <c r="P361" i="5"/>
  <c r="Q361" i="5"/>
  <c r="R361" i="5"/>
  <c r="S361" i="5"/>
  <c r="T361" i="5"/>
  <c r="U361" i="5"/>
  <c r="AD361" i="5" s="1"/>
  <c r="V361" i="5"/>
  <c r="AC361" i="5" s="1"/>
  <c r="W361" i="5"/>
  <c r="X361" i="5"/>
  <c r="O362" i="5"/>
  <c r="P362" i="5"/>
  <c r="Q362" i="5"/>
  <c r="R362" i="5"/>
  <c r="S362" i="5"/>
  <c r="T362" i="5"/>
  <c r="U362" i="5"/>
  <c r="AC362" i="5" s="1"/>
  <c r="V362" i="5"/>
  <c r="W362" i="5"/>
  <c r="X362" i="5"/>
  <c r="O363" i="5"/>
  <c r="P363" i="5"/>
  <c r="Q363" i="5"/>
  <c r="R363" i="5"/>
  <c r="S363" i="5"/>
  <c r="T363" i="5"/>
  <c r="U363" i="5"/>
  <c r="AD363" i="5" s="1"/>
  <c r="V363" i="5"/>
  <c r="W363" i="5"/>
  <c r="X363" i="5"/>
  <c r="O364" i="5"/>
  <c r="P364" i="5"/>
  <c r="Q364" i="5"/>
  <c r="R364" i="5"/>
  <c r="S364" i="5"/>
  <c r="T364" i="5"/>
  <c r="U364" i="5"/>
  <c r="AC364" i="5" s="1"/>
  <c r="V364" i="5"/>
  <c r="W364" i="5"/>
  <c r="X364" i="5"/>
  <c r="O365" i="5"/>
  <c r="P365" i="5"/>
  <c r="Q365" i="5"/>
  <c r="R365" i="5"/>
  <c r="S365" i="5"/>
  <c r="T365" i="5"/>
  <c r="U365" i="5"/>
  <c r="AD365" i="5" s="1"/>
  <c r="V365" i="5"/>
  <c r="W365" i="5"/>
  <c r="AC365" i="5" s="1"/>
  <c r="X365" i="5"/>
  <c r="O366" i="5"/>
  <c r="P366" i="5"/>
  <c r="Q366" i="5"/>
  <c r="R366" i="5"/>
  <c r="S366" i="5"/>
  <c r="T366" i="5"/>
  <c r="U366" i="5"/>
  <c r="AC366" i="5" s="1"/>
  <c r="V366" i="5"/>
  <c r="W366" i="5"/>
  <c r="X366" i="5"/>
  <c r="O367" i="5"/>
  <c r="P367" i="5"/>
  <c r="Q367" i="5"/>
  <c r="R367" i="5"/>
  <c r="S367" i="5"/>
  <c r="T367" i="5"/>
  <c r="U367" i="5"/>
  <c r="AC367" i="5" s="1"/>
  <c r="V367" i="5"/>
  <c r="W367" i="5"/>
  <c r="X367" i="5"/>
  <c r="O368" i="5"/>
  <c r="P368" i="5"/>
  <c r="Q368" i="5"/>
  <c r="R368" i="5"/>
  <c r="S368" i="5"/>
  <c r="T368" i="5"/>
  <c r="U368" i="5"/>
  <c r="AC368" i="5" s="1"/>
  <c r="V368" i="5"/>
  <c r="W368" i="5"/>
  <c r="X368" i="5"/>
  <c r="O369" i="5"/>
  <c r="P369" i="5"/>
  <c r="Q369" i="5"/>
  <c r="R369" i="5"/>
  <c r="S369" i="5"/>
  <c r="T369" i="5"/>
  <c r="U369" i="5"/>
  <c r="AD369" i="5" s="1"/>
  <c r="V369" i="5"/>
  <c r="AC369" i="5" s="1"/>
  <c r="W369" i="5"/>
  <c r="X369" i="5"/>
  <c r="O370" i="5"/>
  <c r="P370" i="5"/>
  <c r="Q370" i="5"/>
  <c r="R370" i="5"/>
  <c r="S370" i="5"/>
  <c r="T370" i="5"/>
  <c r="U370" i="5"/>
  <c r="AD370" i="5" s="1"/>
  <c r="V370" i="5"/>
  <c r="W370" i="5"/>
  <c r="X370" i="5"/>
  <c r="O371" i="5"/>
  <c r="P371" i="5"/>
  <c r="Q371" i="5"/>
  <c r="R371" i="5"/>
  <c r="S371" i="5"/>
  <c r="T371" i="5"/>
  <c r="U371" i="5"/>
  <c r="AD371" i="5" s="1"/>
  <c r="V371" i="5"/>
  <c r="W371" i="5"/>
  <c r="X371" i="5"/>
  <c r="O372" i="5"/>
  <c r="P372" i="5"/>
  <c r="Q372" i="5"/>
  <c r="R372" i="5"/>
  <c r="S372" i="5"/>
  <c r="T372" i="5"/>
  <c r="U372" i="5"/>
  <c r="AC372" i="5" s="1"/>
  <c r="V372" i="5"/>
  <c r="W372" i="5"/>
  <c r="X372" i="5"/>
  <c r="O373" i="5"/>
  <c r="P373" i="5"/>
  <c r="Q373" i="5"/>
  <c r="R373" i="5"/>
  <c r="S373" i="5"/>
  <c r="T373" i="5"/>
  <c r="U373" i="5"/>
  <c r="AD373" i="5" s="1"/>
  <c r="V373" i="5"/>
  <c r="W373" i="5"/>
  <c r="AC373" i="5" s="1"/>
  <c r="X373" i="5"/>
  <c r="O374" i="5"/>
  <c r="P374" i="5"/>
  <c r="Q374" i="5"/>
  <c r="R374" i="5"/>
  <c r="S374" i="5"/>
  <c r="T374" i="5"/>
  <c r="U374" i="5"/>
  <c r="AC374" i="5" s="1"/>
  <c r="V374" i="5"/>
  <c r="W374" i="5"/>
  <c r="X374" i="5"/>
  <c r="O375" i="5"/>
  <c r="P375" i="5"/>
  <c r="Q375" i="5"/>
  <c r="R375" i="5"/>
  <c r="S375" i="5"/>
  <c r="T375" i="5"/>
  <c r="U375" i="5"/>
  <c r="AC375" i="5" s="1"/>
  <c r="V375" i="5"/>
  <c r="W375" i="5"/>
  <c r="X375" i="5"/>
  <c r="O376" i="5"/>
  <c r="P376" i="5"/>
  <c r="Q376" i="5"/>
  <c r="R376" i="5"/>
  <c r="S376" i="5"/>
  <c r="T376" i="5"/>
  <c r="U376" i="5"/>
  <c r="AC376" i="5" s="1"/>
  <c r="V376" i="5"/>
  <c r="W376" i="5"/>
  <c r="X376" i="5"/>
  <c r="O377" i="5"/>
  <c r="P377" i="5"/>
  <c r="Q377" i="5"/>
  <c r="R377" i="5"/>
  <c r="S377" i="5"/>
  <c r="T377" i="5"/>
  <c r="U377" i="5"/>
  <c r="AD377" i="5" s="1"/>
  <c r="V377" i="5"/>
  <c r="AC377" i="5" s="1"/>
  <c r="W377" i="5"/>
  <c r="X377" i="5"/>
  <c r="O378" i="5"/>
  <c r="P378" i="5"/>
  <c r="Q378" i="5"/>
  <c r="R378" i="5"/>
  <c r="S378" i="5"/>
  <c r="T378" i="5"/>
  <c r="U378" i="5"/>
  <c r="AD378" i="5" s="1"/>
  <c r="V378" i="5"/>
  <c r="W378" i="5"/>
  <c r="X378" i="5"/>
  <c r="O379" i="5"/>
  <c r="P379" i="5"/>
  <c r="Q379" i="5"/>
  <c r="R379" i="5"/>
  <c r="S379" i="5"/>
  <c r="T379" i="5"/>
  <c r="U379" i="5"/>
  <c r="AD379" i="5" s="1"/>
  <c r="V379" i="5"/>
  <c r="W379" i="5"/>
  <c r="X379" i="5"/>
  <c r="O380" i="5"/>
  <c r="P380" i="5"/>
  <c r="Q380" i="5"/>
  <c r="R380" i="5"/>
  <c r="S380" i="5"/>
  <c r="T380" i="5"/>
  <c r="U380" i="5"/>
  <c r="AC380" i="5" s="1"/>
  <c r="V380" i="5"/>
  <c r="W380" i="5"/>
  <c r="X380" i="5"/>
  <c r="O381" i="5"/>
  <c r="P381" i="5"/>
  <c r="Q381" i="5"/>
  <c r="R381" i="5"/>
  <c r="S381" i="5"/>
  <c r="T381" i="5"/>
  <c r="U381" i="5"/>
  <c r="AD381" i="5" s="1"/>
  <c r="V381" i="5"/>
  <c r="W381" i="5"/>
  <c r="AC381" i="5" s="1"/>
  <c r="X381" i="5"/>
  <c r="O382" i="5"/>
  <c r="P382" i="5"/>
  <c r="Q382" i="5"/>
  <c r="R382" i="5"/>
  <c r="S382" i="5"/>
  <c r="T382" i="5"/>
  <c r="U382" i="5"/>
  <c r="AC382" i="5" s="1"/>
  <c r="V382" i="5"/>
  <c r="W382" i="5"/>
  <c r="X382" i="5"/>
  <c r="O383" i="5"/>
  <c r="P383" i="5"/>
  <c r="Q383" i="5"/>
  <c r="R383" i="5"/>
  <c r="S383" i="5"/>
  <c r="T383" i="5"/>
  <c r="U383" i="5"/>
  <c r="AC383" i="5" s="1"/>
  <c r="V383" i="5"/>
  <c r="W383" i="5"/>
  <c r="X383" i="5"/>
  <c r="O384" i="5"/>
  <c r="P384" i="5"/>
  <c r="Q384" i="5"/>
  <c r="R384" i="5"/>
  <c r="S384" i="5"/>
  <c r="T384" i="5"/>
  <c r="U384" i="5"/>
  <c r="AC384" i="5" s="1"/>
  <c r="V384" i="5"/>
  <c r="W384" i="5"/>
  <c r="X384" i="5"/>
  <c r="O385" i="5"/>
  <c r="P385" i="5"/>
  <c r="Q385" i="5"/>
  <c r="R385" i="5"/>
  <c r="S385" i="5"/>
  <c r="T385" i="5"/>
  <c r="U385" i="5"/>
  <c r="AD385" i="5" s="1"/>
  <c r="V385" i="5"/>
  <c r="AC385" i="5" s="1"/>
  <c r="W385" i="5"/>
  <c r="X385" i="5"/>
  <c r="O386" i="5"/>
  <c r="P386" i="5"/>
  <c r="Q386" i="5"/>
  <c r="R386" i="5"/>
  <c r="S386" i="5"/>
  <c r="T386" i="5"/>
  <c r="U386" i="5"/>
  <c r="AC386" i="5" s="1"/>
  <c r="V386" i="5"/>
  <c r="W386" i="5"/>
  <c r="X386" i="5"/>
  <c r="O387" i="5"/>
  <c r="P387" i="5"/>
  <c r="Q387" i="5"/>
  <c r="R387" i="5"/>
  <c r="S387" i="5"/>
  <c r="T387" i="5"/>
  <c r="U387" i="5"/>
  <c r="AD387" i="5" s="1"/>
  <c r="V387" i="5"/>
  <c r="W387" i="5"/>
  <c r="X387" i="5"/>
  <c r="O388" i="5"/>
  <c r="P388" i="5"/>
  <c r="Q388" i="5"/>
  <c r="R388" i="5"/>
  <c r="S388" i="5"/>
  <c r="T388" i="5"/>
  <c r="U388" i="5"/>
  <c r="AC388" i="5" s="1"/>
  <c r="V388" i="5"/>
  <c r="W388" i="5"/>
  <c r="X388" i="5"/>
  <c r="O389" i="5"/>
  <c r="P389" i="5"/>
  <c r="Q389" i="5"/>
  <c r="R389" i="5"/>
  <c r="S389" i="5"/>
  <c r="T389" i="5"/>
  <c r="U389" i="5"/>
  <c r="AD389" i="5" s="1"/>
  <c r="V389" i="5"/>
  <c r="W389" i="5"/>
  <c r="AC389" i="5" s="1"/>
  <c r="X389" i="5"/>
  <c r="O390" i="5"/>
  <c r="P390" i="5"/>
  <c r="Q390" i="5"/>
  <c r="R390" i="5"/>
  <c r="S390" i="5"/>
  <c r="T390" i="5"/>
  <c r="U390" i="5"/>
  <c r="AC390" i="5" s="1"/>
  <c r="V390" i="5"/>
  <c r="W390" i="5"/>
  <c r="X390" i="5"/>
  <c r="O391" i="5"/>
  <c r="P391" i="5"/>
  <c r="Q391" i="5"/>
  <c r="R391" i="5"/>
  <c r="S391" i="5"/>
  <c r="T391" i="5"/>
  <c r="U391" i="5"/>
  <c r="AC391" i="5" s="1"/>
  <c r="V391" i="5"/>
  <c r="W391" i="5"/>
  <c r="X391" i="5"/>
  <c r="O392" i="5"/>
  <c r="P392" i="5"/>
  <c r="Q392" i="5"/>
  <c r="R392" i="5"/>
  <c r="S392" i="5"/>
  <c r="T392" i="5"/>
  <c r="U392" i="5"/>
  <c r="AC392" i="5" s="1"/>
  <c r="V392" i="5"/>
  <c r="W392" i="5"/>
  <c r="X392" i="5"/>
  <c r="O393" i="5"/>
  <c r="P393" i="5"/>
  <c r="Q393" i="5"/>
  <c r="R393" i="5"/>
  <c r="S393" i="5"/>
  <c r="T393" i="5"/>
  <c r="U393" i="5"/>
  <c r="AD393" i="5" s="1"/>
  <c r="V393" i="5"/>
  <c r="AC393" i="5" s="1"/>
  <c r="W393" i="5"/>
  <c r="X393" i="5"/>
  <c r="O394" i="5"/>
  <c r="P394" i="5"/>
  <c r="Q394" i="5"/>
  <c r="R394" i="5"/>
  <c r="S394" i="5"/>
  <c r="T394" i="5"/>
  <c r="U394" i="5"/>
  <c r="AC394" i="5" s="1"/>
  <c r="V394" i="5"/>
  <c r="W394" i="5"/>
  <c r="X394" i="5"/>
  <c r="O395" i="5"/>
  <c r="P395" i="5"/>
  <c r="Q395" i="5"/>
  <c r="R395" i="5"/>
  <c r="S395" i="5"/>
  <c r="T395" i="5"/>
  <c r="U395" i="5"/>
  <c r="AD395" i="5" s="1"/>
  <c r="V395" i="5"/>
  <c r="W395" i="5"/>
  <c r="X395" i="5"/>
  <c r="O396" i="5"/>
  <c r="P396" i="5"/>
  <c r="Q396" i="5"/>
  <c r="R396" i="5"/>
  <c r="S396" i="5"/>
  <c r="T396" i="5"/>
  <c r="U396" i="5"/>
  <c r="AC396" i="5" s="1"/>
  <c r="V396" i="5"/>
  <c r="W396" i="5"/>
  <c r="X396" i="5"/>
  <c r="O397" i="5"/>
  <c r="P397" i="5"/>
  <c r="Q397" i="5"/>
  <c r="R397" i="5"/>
  <c r="S397" i="5"/>
  <c r="T397" i="5"/>
  <c r="U397" i="5"/>
  <c r="AD397" i="5" s="1"/>
  <c r="V397" i="5"/>
  <c r="W397" i="5"/>
  <c r="AC397" i="5" s="1"/>
  <c r="X397" i="5"/>
  <c r="O398" i="5"/>
  <c r="P398" i="5"/>
  <c r="Q398" i="5"/>
  <c r="R398" i="5"/>
  <c r="S398" i="5"/>
  <c r="T398" i="5"/>
  <c r="U398" i="5"/>
  <c r="AC398" i="5" s="1"/>
  <c r="V398" i="5"/>
  <c r="W398" i="5"/>
  <c r="X398" i="5"/>
  <c r="O399" i="5"/>
  <c r="P399" i="5"/>
  <c r="Q399" i="5"/>
  <c r="R399" i="5"/>
  <c r="S399" i="5"/>
  <c r="T399" i="5"/>
  <c r="U399" i="5"/>
  <c r="AC399" i="5" s="1"/>
  <c r="V399" i="5"/>
  <c r="W399" i="5"/>
  <c r="X399" i="5"/>
  <c r="O400" i="5"/>
  <c r="P400" i="5"/>
  <c r="Q400" i="5"/>
  <c r="R400" i="5"/>
  <c r="S400" i="5"/>
  <c r="T400" i="5"/>
  <c r="U400" i="5"/>
  <c r="AC400" i="5" s="1"/>
  <c r="V400" i="5"/>
  <c r="W400" i="5"/>
  <c r="X400" i="5"/>
  <c r="O401" i="5"/>
  <c r="P401" i="5"/>
  <c r="Q401" i="5"/>
  <c r="R401" i="5"/>
  <c r="S401" i="5"/>
  <c r="T401" i="5"/>
  <c r="U401" i="5"/>
  <c r="V401" i="5"/>
  <c r="AC401" i="5" s="1"/>
  <c r="W401" i="5"/>
  <c r="X401" i="5"/>
  <c r="O402" i="5"/>
  <c r="P402" i="5"/>
  <c r="Q402" i="5"/>
  <c r="R402" i="5"/>
  <c r="S402" i="5"/>
  <c r="T402" i="5"/>
  <c r="U402" i="5"/>
  <c r="AD402" i="5" s="1"/>
  <c r="V402" i="5"/>
  <c r="W402" i="5"/>
  <c r="X402" i="5"/>
  <c r="O403" i="5"/>
  <c r="P403" i="5"/>
  <c r="Q403" i="5"/>
  <c r="R403" i="5"/>
  <c r="S403" i="5"/>
  <c r="T403" i="5"/>
  <c r="U403" i="5"/>
  <c r="AD403" i="5" s="1"/>
  <c r="V403" i="5"/>
  <c r="W403" i="5"/>
  <c r="X403" i="5"/>
  <c r="O404" i="5"/>
  <c r="P404" i="5"/>
  <c r="Q404" i="5"/>
  <c r="R404" i="5"/>
  <c r="S404" i="5"/>
  <c r="T404" i="5"/>
  <c r="U404" i="5"/>
  <c r="AC404" i="5" s="1"/>
  <c r="V404" i="5"/>
  <c r="W404" i="5"/>
  <c r="X404" i="5"/>
  <c r="O405" i="5"/>
  <c r="P405" i="5"/>
  <c r="Q405" i="5"/>
  <c r="R405" i="5"/>
  <c r="S405" i="5"/>
  <c r="T405" i="5"/>
  <c r="U405" i="5"/>
  <c r="AD405" i="5" s="1"/>
  <c r="V405" i="5"/>
  <c r="W405" i="5"/>
  <c r="AC405" i="5" s="1"/>
  <c r="X405" i="5"/>
  <c r="O406" i="5"/>
  <c r="P406" i="5"/>
  <c r="Q406" i="5"/>
  <c r="R406" i="5"/>
  <c r="S406" i="5"/>
  <c r="T406" i="5"/>
  <c r="U406" i="5"/>
  <c r="AC406" i="5" s="1"/>
  <c r="V406" i="5"/>
  <c r="W406" i="5"/>
  <c r="X406" i="5"/>
  <c r="O407" i="5"/>
  <c r="P407" i="5"/>
  <c r="Q407" i="5"/>
  <c r="R407" i="5"/>
  <c r="S407" i="5"/>
  <c r="T407" i="5"/>
  <c r="U407" i="5"/>
  <c r="AC407" i="5" s="1"/>
  <c r="V407" i="5"/>
  <c r="W407" i="5"/>
  <c r="X407" i="5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O321" i="3"/>
  <c r="P321" i="3"/>
  <c r="Q321" i="3"/>
  <c r="R321" i="3"/>
  <c r="S321" i="3"/>
  <c r="T321" i="3"/>
  <c r="U321" i="3"/>
  <c r="V321" i="3"/>
  <c r="W321" i="3"/>
  <c r="X321" i="3"/>
  <c r="O322" i="3"/>
  <c r="P322" i="3"/>
  <c r="Q322" i="3"/>
  <c r="R322" i="3"/>
  <c r="S322" i="3"/>
  <c r="T322" i="3"/>
  <c r="U322" i="3"/>
  <c r="V322" i="3"/>
  <c r="W322" i="3"/>
  <c r="X322" i="3"/>
  <c r="O323" i="3"/>
  <c r="P323" i="3"/>
  <c r="Q323" i="3"/>
  <c r="R323" i="3"/>
  <c r="S323" i="3"/>
  <c r="T323" i="3"/>
  <c r="U323" i="3"/>
  <c r="V323" i="3"/>
  <c r="W323" i="3"/>
  <c r="X323" i="3"/>
  <c r="O324" i="3"/>
  <c r="P324" i="3"/>
  <c r="Q324" i="3"/>
  <c r="R324" i="3"/>
  <c r="S324" i="3"/>
  <c r="T324" i="3"/>
  <c r="U324" i="3"/>
  <c r="V324" i="3"/>
  <c r="W324" i="3"/>
  <c r="X324" i="3"/>
  <c r="O325" i="3"/>
  <c r="P325" i="3"/>
  <c r="Q325" i="3"/>
  <c r="R325" i="3"/>
  <c r="S325" i="3"/>
  <c r="T325" i="3"/>
  <c r="U325" i="3"/>
  <c r="V325" i="3"/>
  <c r="W325" i="3"/>
  <c r="X325" i="3"/>
  <c r="O326" i="3"/>
  <c r="P326" i="3"/>
  <c r="Q326" i="3"/>
  <c r="R326" i="3"/>
  <c r="S326" i="3"/>
  <c r="T326" i="3"/>
  <c r="U326" i="3"/>
  <c r="V326" i="3"/>
  <c r="W326" i="3"/>
  <c r="X326" i="3"/>
  <c r="O327" i="3"/>
  <c r="P327" i="3"/>
  <c r="Q327" i="3"/>
  <c r="R327" i="3"/>
  <c r="S327" i="3"/>
  <c r="T327" i="3"/>
  <c r="U327" i="3"/>
  <c r="V327" i="3"/>
  <c r="W327" i="3"/>
  <c r="X327" i="3"/>
  <c r="O328" i="3"/>
  <c r="P328" i="3"/>
  <c r="Q328" i="3"/>
  <c r="R328" i="3"/>
  <c r="S328" i="3"/>
  <c r="T328" i="3"/>
  <c r="U328" i="3"/>
  <c r="V328" i="3"/>
  <c r="W328" i="3"/>
  <c r="X328" i="3"/>
  <c r="O329" i="3"/>
  <c r="P329" i="3"/>
  <c r="Q329" i="3"/>
  <c r="R329" i="3"/>
  <c r="S329" i="3"/>
  <c r="T329" i="3"/>
  <c r="U329" i="3"/>
  <c r="V329" i="3"/>
  <c r="W329" i="3"/>
  <c r="X329" i="3"/>
  <c r="O330" i="3"/>
  <c r="P330" i="3"/>
  <c r="Q330" i="3"/>
  <c r="R330" i="3"/>
  <c r="S330" i="3"/>
  <c r="T330" i="3"/>
  <c r="U330" i="3"/>
  <c r="V330" i="3"/>
  <c r="W330" i="3"/>
  <c r="X330" i="3"/>
  <c r="O331" i="3"/>
  <c r="P331" i="3"/>
  <c r="Q331" i="3"/>
  <c r="R331" i="3"/>
  <c r="S331" i="3"/>
  <c r="T331" i="3"/>
  <c r="U331" i="3"/>
  <c r="V331" i="3"/>
  <c r="W331" i="3"/>
  <c r="X331" i="3"/>
  <c r="O332" i="3"/>
  <c r="P332" i="3"/>
  <c r="Q332" i="3"/>
  <c r="R332" i="3"/>
  <c r="S332" i="3"/>
  <c r="T332" i="3"/>
  <c r="U332" i="3"/>
  <c r="V332" i="3"/>
  <c r="W332" i="3"/>
  <c r="X332" i="3"/>
  <c r="O333" i="3"/>
  <c r="P333" i="3"/>
  <c r="Q333" i="3"/>
  <c r="R333" i="3"/>
  <c r="S333" i="3"/>
  <c r="T333" i="3"/>
  <c r="U333" i="3"/>
  <c r="V333" i="3"/>
  <c r="W333" i="3"/>
  <c r="X333" i="3"/>
  <c r="O334" i="3"/>
  <c r="P334" i="3"/>
  <c r="Q334" i="3"/>
  <c r="R334" i="3"/>
  <c r="S334" i="3"/>
  <c r="T334" i="3"/>
  <c r="U334" i="3"/>
  <c r="V334" i="3"/>
  <c r="W334" i="3"/>
  <c r="X334" i="3"/>
  <c r="O335" i="3"/>
  <c r="P335" i="3"/>
  <c r="Q335" i="3"/>
  <c r="R335" i="3"/>
  <c r="S335" i="3"/>
  <c r="T335" i="3"/>
  <c r="U335" i="3"/>
  <c r="V335" i="3"/>
  <c r="W335" i="3"/>
  <c r="X335" i="3"/>
  <c r="O336" i="3"/>
  <c r="P336" i="3"/>
  <c r="Q336" i="3"/>
  <c r="R336" i="3"/>
  <c r="S336" i="3"/>
  <c r="T336" i="3"/>
  <c r="U336" i="3"/>
  <c r="V336" i="3"/>
  <c r="W336" i="3"/>
  <c r="X336" i="3"/>
  <c r="O337" i="3"/>
  <c r="P337" i="3"/>
  <c r="Q337" i="3"/>
  <c r="R337" i="3"/>
  <c r="S337" i="3"/>
  <c r="T337" i="3"/>
  <c r="U337" i="3"/>
  <c r="V337" i="3"/>
  <c r="W337" i="3"/>
  <c r="X337" i="3"/>
  <c r="O338" i="3"/>
  <c r="P338" i="3"/>
  <c r="Q338" i="3"/>
  <c r="R338" i="3"/>
  <c r="S338" i="3"/>
  <c r="T338" i="3"/>
  <c r="U338" i="3"/>
  <c r="V338" i="3"/>
  <c r="W338" i="3"/>
  <c r="X338" i="3"/>
  <c r="O339" i="3"/>
  <c r="P339" i="3"/>
  <c r="Q339" i="3"/>
  <c r="R339" i="3"/>
  <c r="S339" i="3"/>
  <c r="T339" i="3"/>
  <c r="U339" i="3"/>
  <c r="V339" i="3"/>
  <c r="W339" i="3"/>
  <c r="X339" i="3"/>
  <c r="O340" i="3"/>
  <c r="P340" i="3"/>
  <c r="Q340" i="3"/>
  <c r="R340" i="3"/>
  <c r="S340" i="3"/>
  <c r="T340" i="3"/>
  <c r="U340" i="3"/>
  <c r="V340" i="3"/>
  <c r="W340" i="3"/>
  <c r="X340" i="3"/>
  <c r="O341" i="3"/>
  <c r="P341" i="3"/>
  <c r="Q341" i="3"/>
  <c r="R341" i="3"/>
  <c r="S341" i="3"/>
  <c r="T341" i="3"/>
  <c r="U341" i="3"/>
  <c r="V341" i="3"/>
  <c r="W341" i="3"/>
  <c r="X341" i="3"/>
  <c r="O342" i="3"/>
  <c r="P342" i="3"/>
  <c r="Q342" i="3"/>
  <c r="R342" i="3"/>
  <c r="S342" i="3"/>
  <c r="T342" i="3"/>
  <c r="U342" i="3"/>
  <c r="V342" i="3"/>
  <c r="W342" i="3"/>
  <c r="X342" i="3"/>
  <c r="O343" i="3"/>
  <c r="P343" i="3"/>
  <c r="Q343" i="3"/>
  <c r="R343" i="3"/>
  <c r="S343" i="3"/>
  <c r="T343" i="3"/>
  <c r="U343" i="3"/>
  <c r="V343" i="3"/>
  <c r="W343" i="3"/>
  <c r="X343" i="3"/>
  <c r="O344" i="3"/>
  <c r="P344" i="3"/>
  <c r="Q344" i="3"/>
  <c r="R344" i="3"/>
  <c r="S344" i="3"/>
  <c r="T344" i="3"/>
  <c r="U344" i="3"/>
  <c r="V344" i="3"/>
  <c r="W344" i="3"/>
  <c r="X344" i="3"/>
  <c r="O345" i="3"/>
  <c r="P345" i="3"/>
  <c r="Q345" i="3"/>
  <c r="R345" i="3"/>
  <c r="S345" i="3"/>
  <c r="T345" i="3"/>
  <c r="U345" i="3"/>
  <c r="V345" i="3"/>
  <c r="W345" i="3"/>
  <c r="X345" i="3"/>
  <c r="O346" i="3"/>
  <c r="P346" i="3"/>
  <c r="Q346" i="3"/>
  <c r="R346" i="3"/>
  <c r="S346" i="3"/>
  <c r="T346" i="3"/>
  <c r="U346" i="3"/>
  <c r="V346" i="3"/>
  <c r="W346" i="3"/>
  <c r="X346" i="3"/>
  <c r="O347" i="3"/>
  <c r="P347" i="3"/>
  <c r="Q347" i="3"/>
  <c r="R347" i="3"/>
  <c r="S347" i="3"/>
  <c r="T347" i="3"/>
  <c r="U347" i="3"/>
  <c r="V347" i="3"/>
  <c r="W347" i="3"/>
  <c r="X347" i="3"/>
  <c r="O348" i="3"/>
  <c r="P348" i="3"/>
  <c r="Q348" i="3"/>
  <c r="R348" i="3"/>
  <c r="S348" i="3"/>
  <c r="T348" i="3"/>
  <c r="U348" i="3"/>
  <c r="V348" i="3"/>
  <c r="W348" i="3"/>
  <c r="X348" i="3"/>
  <c r="O349" i="3"/>
  <c r="P349" i="3"/>
  <c r="Q349" i="3"/>
  <c r="R349" i="3"/>
  <c r="S349" i="3"/>
  <c r="T349" i="3"/>
  <c r="U349" i="3"/>
  <c r="V349" i="3"/>
  <c r="W349" i="3"/>
  <c r="X349" i="3"/>
  <c r="O350" i="3"/>
  <c r="P350" i="3"/>
  <c r="Q350" i="3"/>
  <c r="R350" i="3"/>
  <c r="S350" i="3"/>
  <c r="T350" i="3"/>
  <c r="U350" i="3"/>
  <c r="V350" i="3"/>
  <c r="W350" i="3"/>
  <c r="X350" i="3"/>
  <c r="O351" i="3"/>
  <c r="P351" i="3"/>
  <c r="Q351" i="3"/>
  <c r="R351" i="3"/>
  <c r="S351" i="3"/>
  <c r="T351" i="3"/>
  <c r="U351" i="3"/>
  <c r="V351" i="3"/>
  <c r="W351" i="3"/>
  <c r="X351" i="3"/>
  <c r="O352" i="3"/>
  <c r="P352" i="3"/>
  <c r="Q352" i="3"/>
  <c r="R352" i="3"/>
  <c r="S352" i="3"/>
  <c r="T352" i="3"/>
  <c r="U352" i="3"/>
  <c r="V352" i="3"/>
  <c r="W352" i="3"/>
  <c r="X352" i="3"/>
  <c r="O353" i="3"/>
  <c r="P353" i="3"/>
  <c r="Q353" i="3"/>
  <c r="R353" i="3"/>
  <c r="S353" i="3"/>
  <c r="T353" i="3"/>
  <c r="U353" i="3"/>
  <c r="V353" i="3"/>
  <c r="W353" i="3"/>
  <c r="X353" i="3"/>
  <c r="O354" i="3"/>
  <c r="P354" i="3"/>
  <c r="Q354" i="3"/>
  <c r="R354" i="3"/>
  <c r="S354" i="3"/>
  <c r="T354" i="3"/>
  <c r="U354" i="3"/>
  <c r="V354" i="3"/>
  <c r="W354" i="3"/>
  <c r="X354" i="3"/>
  <c r="O355" i="3"/>
  <c r="P355" i="3"/>
  <c r="Q355" i="3"/>
  <c r="R355" i="3"/>
  <c r="S355" i="3"/>
  <c r="T355" i="3"/>
  <c r="U355" i="3"/>
  <c r="V355" i="3"/>
  <c r="W355" i="3"/>
  <c r="X355" i="3"/>
  <c r="O356" i="3"/>
  <c r="P356" i="3"/>
  <c r="Q356" i="3"/>
  <c r="R356" i="3"/>
  <c r="S356" i="3"/>
  <c r="T356" i="3"/>
  <c r="U356" i="3"/>
  <c r="V356" i="3"/>
  <c r="W356" i="3"/>
  <c r="X356" i="3"/>
  <c r="O357" i="3"/>
  <c r="P357" i="3"/>
  <c r="Q357" i="3"/>
  <c r="R357" i="3"/>
  <c r="S357" i="3"/>
  <c r="T357" i="3"/>
  <c r="U357" i="3"/>
  <c r="V357" i="3"/>
  <c r="W357" i="3"/>
  <c r="X357" i="3"/>
  <c r="O358" i="3"/>
  <c r="P358" i="3"/>
  <c r="Q358" i="3"/>
  <c r="R358" i="3"/>
  <c r="S358" i="3"/>
  <c r="T358" i="3"/>
  <c r="U358" i="3"/>
  <c r="V358" i="3"/>
  <c r="W358" i="3"/>
  <c r="X358" i="3"/>
  <c r="O359" i="3"/>
  <c r="P359" i="3"/>
  <c r="Q359" i="3"/>
  <c r="R359" i="3"/>
  <c r="S359" i="3"/>
  <c r="T359" i="3"/>
  <c r="U359" i="3"/>
  <c r="V359" i="3"/>
  <c r="W359" i="3"/>
  <c r="X359" i="3"/>
  <c r="O360" i="3"/>
  <c r="P360" i="3"/>
  <c r="Q360" i="3"/>
  <c r="R360" i="3"/>
  <c r="S360" i="3"/>
  <c r="T360" i="3"/>
  <c r="U360" i="3"/>
  <c r="V360" i="3"/>
  <c r="W360" i="3"/>
  <c r="X360" i="3"/>
  <c r="O361" i="3"/>
  <c r="P361" i="3"/>
  <c r="Q361" i="3"/>
  <c r="R361" i="3"/>
  <c r="S361" i="3"/>
  <c r="T361" i="3"/>
  <c r="U361" i="3"/>
  <c r="V361" i="3"/>
  <c r="W361" i="3"/>
  <c r="X361" i="3"/>
  <c r="O362" i="3"/>
  <c r="P362" i="3"/>
  <c r="Q362" i="3"/>
  <c r="R362" i="3"/>
  <c r="S362" i="3"/>
  <c r="T362" i="3"/>
  <c r="U362" i="3"/>
  <c r="V362" i="3"/>
  <c r="W362" i="3"/>
  <c r="X362" i="3"/>
  <c r="O363" i="3"/>
  <c r="P363" i="3"/>
  <c r="Q363" i="3"/>
  <c r="R363" i="3"/>
  <c r="S363" i="3"/>
  <c r="T363" i="3"/>
  <c r="U363" i="3"/>
  <c r="V363" i="3"/>
  <c r="W363" i="3"/>
  <c r="X363" i="3"/>
  <c r="O364" i="3"/>
  <c r="P364" i="3"/>
  <c r="Q364" i="3"/>
  <c r="R364" i="3"/>
  <c r="S364" i="3"/>
  <c r="T364" i="3"/>
  <c r="U364" i="3"/>
  <c r="V364" i="3"/>
  <c r="W364" i="3"/>
  <c r="X364" i="3"/>
  <c r="O365" i="3"/>
  <c r="P365" i="3"/>
  <c r="Q365" i="3"/>
  <c r="R365" i="3"/>
  <c r="S365" i="3"/>
  <c r="T365" i="3"/>
  <c r="U365" i="3"/>
  <c r="V365" i="3"/>
  <c r="W365" i="3"/>
  <c r="X365" i="3"/>
  <c r="O366" i="3"/>
  <c r="P366" i="3"/>
  <c r="Q366" i="3"/>
  <c r="R366" i="3"/>
  <c r="S366" i="3"/>
  <c r="T366" i="3"/>
  <c r="U366" i="3"/>
  <c r="V366" i="3"/>
  <c r="W366" i="3"/>
  <c r="X366" i="3"/>
  <c r="O367" i="3"/>
  <c r="P367" i="3"/>
  <c r="Q367" i="3"/>
  <c r="R367" i="3"/>
  <c r="S367" i="3"/>
  <c r="T367" i="3"/>
  <c r="U367" i="3"/>
  <c r="V367" i="3"/>
  <c r="W367" i="3"/>
  <c r="X367" i="3"/>
  <c r="O368" i="3"/>
  <c r="P368" i="3"/>
  <c r="Q368" i="3"/>
  <c r="R368" i="3"/>
  <c r="S368" i="3"/>
  <c r="T368" i="3"/>
  <c r="U368" i="3"/>
  <c r="V368" i="3"/>
  <c r="W368" i="3"/>
  <c r="X368" i="3"/>
  <c r="O369" i="3"/>
  <c r="P369" i="3"/>
  <c r="Q369" i="3"/>
  <c r="R369" i="3"/>
  <c r="S369" i="3"/>
  <c r="T369" i="3"/>
  <c r="U369" i="3"/>
  <c r="V369" i="3"/>
  <c r="W369" i="3"/>
  <c r="X369" i="3"/>
  <c r="O370" i="3"/>
  <c r="P370" i="3"/>
  <c r="Q370" i="3"/>
  <c r="R370" i="3"/>
  <c r="S370" i="3"/>
  <c r="T370" i="3"/>
  <c r="U370" i="3"/>
  <c r="V370" i="3"/>
  <c r="W370" i="3"/>
  <c r="X370" i="3"/>
  <c r="O371" i="3"/>
  <c r="P371" i="3"/>
  <c r="Q371" i="3"/>
  <c r="R371" i="3"/>
  <c r="S371" i="3"/>
  <c r="T371" i="3"/>
  <c r="U371" i="3"/>
  <c r="V371" i="3"/>
  <c r="W371" i="3"/>
  <c r="X371" i="3"/>
  <c r="O372" i="3"/>
  <c r="P372" i="3"/>
  <c r="Q372" i="3"/>
  <c r="R372" i="3"/>
  <c r="S372" i="3"/>
  <c r="T372" i="3"/>
  <c r="U372" i="3"/>
  <c r="V372" i="3"/>
  <c r="W372" i="3"/>
  <c r="X372" i="3"/>
  <c r="O373" i="3"/>
  <c r="P373" i="3"/>
  <c r="Q373" i="3"/>
  <c r="R373" i="3"/>
  <c r="S373" i="3"/>
  <c r="T373" i="3"/>
  <c r="U373" i="3"/>
  <c r="V373" i="3"/>
  <c r="W373" i="3"/>
  <c r="X373" i="3"/>
  <c r="O374" i="3"/>
  <c r="P374" i="3"/>
  <c r="Q374" i="3"/>
  <c r="R374" i="3"/>
  <c r="S374" i="3"/>
  <c r="T374" i="3"/>
  <c r="U374" i="3"/>
  <c r="V374" i="3"/>
  <c r="W374" i="3"/>
  <c r="X374" i="3"/>
  <c r="O375" i="3"/>
  <c r="P375" i="3"/>
  <c r="Q375" i="3"/>
  <c r="R375" i="3"/>
  <c r="S375" i="3"/>
  <c r="T375" i="3"/>
  <c r="U375" i="3"/>
  <c r="V375" i="3"/>
  <c r="W375" i="3"/>
  <c r="X375" i="3"/>
  <c r="O376" i="3"/>
  <c r="P376" i="3"/>
  <c r="Q376" i="3"/>
  <c r="R376" i="3"/>
  <c r="S376" i="3"/>
  <c r="T376" i="3"/>
  <c r="U376" i="3"/>
  <c r="V376" i="3"/>
  <c r="W376" i="3"/>
  <c r="X376" i="3"/>
  <c r="O377" i="3"/>
  <c r="P377" i="3"/>
  <c r="Q377" i="3"/>
  <c r="R377" i="3"/>
  <c r="S377" i="3"/>
  <c r="T377" i="3"/>
  <c r="U377" i="3"/>
  <c r="V377" i="3"/>
  <c r="W377" i="3"/>
  <c r="X377" i="3"/>
  <c r="O378" i="3"/>
  <c r="P378" i="3"/>
  <c r="Q378" i="3"/>
  <c r="R378" i="3"/>
  <c r="S378" i="3"/>
  <c r="T378" i="3"/>
  <c r="U378" i="3"/>
  <c r="V378" i="3"/>
  <c r="W378" i="3"/>
  <c r="X378" i="3"/>
  <c r="O379" i="3"/>
  <c r="P379" i="3"/>
  <c r="Q379" i="3"/>
  <c r="R379" i="3"/>
  <c r="S379" i="3"/>
  <c r="T379" i="3"/>
  <c r="U379" i="3"/>
  <c r="V379" i="3"/>
  <c r="W379" i="3"/>
  <c r="X379" i="3"/>
  <c r="O380" i="3"/>
  <c r="P380" i="3"/>
  <c r="Q380" i="3"/>
  <c r="R380" i="3"/>
  <c r="S380" i="3"/>
  <c r="T380" i="3"/>
  <c r="U380" i="3"/>
  <c r="V380" i="3"/>
  <c r="W380" i="3"/>
  <c r="X380" i="3"/>
  <c r="O381" i="3"/>
  <c r="P381" i="3"/>
  <c r="Q381" i="3"/>
  <c r="R381" i="3"/>
  <c r="S381" i="3"/>
  <c r="T381" i="3"/>
  <c r="U381" i="3"/>
  <c r="V381" i="3"/>
  <c r="W381" i="3"/>
  <c r="X381" i="3"/>
  <c r="O382" i="3"/>
  <c r="P382" i="3"/>
  <c r="Q382" i="3"/>
  <c r="R382" i="3"/>
  <c r="S382" i="3"/>
  <c r="T382" i="3"/>
  <c r="U382" i="3"/>
  <c r="V382" i="3"/>
  <c r="W382" i="3"/>
  <c r="X382" i="3"/>
  <c r="O383" i="3"/>
  <c r="P383" i="3"/>
  <c r="Q383" i="3"/>
  <c r="R383" i="3"/>
  <c r="S383" i="3"/>
  <c r="T383" i="3"/>
  <c r="U383" i="3"/>
  <c r="V383" i="3"/>
  <c r="W383" i="3"/>
  <c r="X383" i="3"/>
  <c r="O384" i="3"/>
  <c r="P384" i="3"/>
  <c r="Q384" i="3"/>
  <c r="R384" i="3"/>
  <c r="S384" i="3"/>
  <c r="T384" i="3"/>
  <c r="U384" i="3"/>
  <c r="V384" i="3"/>
  <c r="W384" i="3"/>
  <c r="X384" i="3"/>
  <c r="O385" i="3"/>
  <c r="P385" i="3"/>
  <c r="Q385" i="3"/>
  <c r="R385" i="3"/>
  <c r="S385" i="3"/>
  <c r="T385" i="3"/>
  <c r="U385" i="3"/>
  <c r="V385" i="3"/>
  <c r="W385" i="3"/>
  <c r="X385" i="3"/>
  <c r="O386" i="3"/>
  <c r="P386" i="3"/>
  <c r="Q386" i="3"/>
  <c r="R386" i="3"/>
  <c r="S386" i="3"/>
  <c r="T386" i="3"/>
  <c r="U386" i="3"/>
  <c r="V386" i="3"/>
  <c r="W386" i="3"/>
  <c r="X386" i="3"/>
  <c r="O387" i="3"/>
  <c r="P387" i="3"/>
  <c r="Q387" i="3"/>
  <c r="R387" i="3"/>
  <c r="S387" i="3"/>
  <c r="T387" i="3"/>
  <c r="U387" i="3"/>
  <c r="V387" i="3"/>
  <c r="W387" i="3"/>
  <c r="X387" i="3"/>
  <c r="O388" i="3"/>
  <c r="P388" i="3"/>
  <c r="Q388" i="3"/>
  <c r="R388" i="3"/>
  <c r="S388" i="3"/>
  <c r="T388" i="3"/>
  <c r="U388" i="3"/>
  <c r="V388" i="3"/>
  <c r="W388" i="3"/>
  <c r="X388" i="3"/>
  <c r="O389" i="3"/>
  <c r="P389" i="3"/>
  <c r="Q389" i="3"/>
  <c r="R389" i="3"/>
  <c r="S389" i="3"/>
  <c r="T389" i="3"/>
  <c r="U389" i="3"/>
  <c r="V389" i="3"/>
  <c r="W389" i="3"/>
  <c r="X389" i="3"/>
  <c r="O390" i="3"/>
  <c r="P390" i="3"/>
  <c r="Q390" i="3"/>
  <c r="R390" i="3"/>
  <c r="S390" i="3"/>
  <c r="T390" i="3"/>
  <c r="U390" i="3"/>
  <c r="V390" i="3"/>
  <c r="W390" i="3"/>
  <c r="X390" i="3"/>
  <c r="O391" i="3"/>
  <c r="P391" i="3"/>
  <c r="Q391" i="3"/>
  <c r="R391" i="3"/>
  <c r="S391" i="3"/>
  <c r="T391" i="3"/>
  <c r="U391" i="3"/>
  <c r="V391" i="3"/>
  <c r="W391" i="3"/>
  <c r="X391" i="3"/>
  <c r="O392" i="3"/>
  <c r="P392" i="3"/>
  <c r="Q392" i="3"/>
  <c r="R392" i="3"/>
  <c r="S392" i="3"/>
  <c r="T392" i="3"/>
  <c r="U392" i="3"/>
  <c r="V392" i="3"/>
  <c r="W392" i="3"/>
  <c r="X392" i="3"/>
  <c r="O393" i="3"/>
  <c r="P393" i="3"/>
  <c r="Q393" i="3"/>
  <c r="R393" i="3"/>
  <c r="S393" i="3"/>
  <c r="T393" i="3"/>
  <c r="U393" i="3"/>
  <c r="V393" i="3"/>
  <c r="W393" i="3"/>
  <c r="X393" i="3"/>
  <c r="O394" i="3"/>
  <c r="P394" i="3"/>
  <c r="Q394" i="3"/>
  <c r="R394" i="3"/>
  <c r="S394" i="3"/>
  <c r="T394" i="3"/>
  <c r="U394" i="3"/>
  <c r="V394" i="3"/>
  <c r="W394" i="3"/>
  <c r="X394" i="3"/>
  <c r="O395" i="3"/>
  <c r="P395" i="3"/>
  <c r="Q395" i="3"/>
  <c r="R395" i="3"/>
  <c r="S395" i="3"/>
  <c r="T395" i="3"/>
  <c r="U395" i="3"/>
  <c r="V395" i="3"/>
  <c r="W395" i="3"/>
  <c r="X395" i="3"/>
  <c r="O396" i="3"/>
  <c r="P396" i="3"/>
  <c r="Q396" i="3"/>
  <c r="R396" i="3"/>
  <c r="S396" i="3"/>
  <c r="T396" i="3"/>
  <c r="U396" i="3"/>
  <c r="V396" i="3"/>
  <c r="W396" i="3"/>
  <c r="X396" i="3"/>
  <c r="O397" i="3"/>
  <c r="P397" i="3"/>
  <c r="Q397" i="3"/>
  <c r="R397" i="3"/>
  <c r="S397" i="3"/>
  <c r="T397" i="3"/>
  <c r="U397" i="3"/>
  <c r="V397" i="3"/>
  <c r="W397" i="3"/>
  <c r="X397" i="3"/>
  <c r="O398" i="3"/>
  <c r="P398" i="3"/>
  <c r="Q398" i="3"/>
  <c r="R398" i="3"/>
  <c r="S398" i="3"/>
  <c r="T398" i="3"/>
  <c r="U398" i="3"/>
  <c r="V398" i="3"/>
  <c r="W398" i="3"/>
  <c r="X398" i="3"/>
  <c r="O399" i="3"/>
  <c r="P399" i="3"/>
  <c r="Q399" i="3"/>
  <c r="R399" i="3"/>
  <c r="S399" i="3"/>
  <c r="T399" i="3"/>
  <c r="U399" i="3"/>
  <c r="V399" i="3"/>
  <c r="W399" i="3"/>
  <c r="X399" i="3"/>
  <c r="O400" i="3"/>
  <c r="P400" i="3"/>
  <c r="Q400" i="3"/>
  <c r="R400" i="3"/>
  <c r="S400" i="3"/>
  <c r="T400" i="3"/>
  <c r="U400" i="3"/>
  <c r="V400" i="3"/>
  <c r="W400" i="3"/>
  <c r="X400" i="3"/>
  <c r="O401" i="3"/>
  <c r="P401" i="3"/>
  <c r="Q401" i="3"/>
  <c r="R401" i="3"/>
  <c r="S401" i="3"/>
  <c r="T401" i="3"/>
  <c r="U401" i="3"/>
  <c r="V401" i="3"/>
  <c r="W401" i="3"/>
  <c r="X401" i="3"/>
  <c r="O402" i="3"/>
  <c r="P402" i="3"/>
  <c r="Q402" i="3"/>
  <c r="R402" i="3"/>
  <c r="S402" i="3"/>
  <c r="T402" i="3"/>
  <c r="U402" i="3"/>
  <c r="V402" i="3"/>
  <c r="W402" i="3"/>
  <c r="X402" i="3"/>
  <c r="O403" i="3"/>
  <c r="P403" i="3"/>
  <c r="Q403" i="3"/>
  <c r="R403" i="3"/>
  <c r="S403" i="3"/>
  <c r="T403" i="3"/>
  <c r="U403" i="3"/>
  <c r="V403" i="3"/>
  <c r="W403" i="3"/>
  <c r="X403" i="3"/>
  <c r="O404" i="3"/>
  <c r="P404" i="3"/>
  <c r="Q404" i="3"/>
  <c r="R404" i="3"/>
  <c r="S404" i="3"/>
  <c r="T404" i="3"/>
  <c r="U404" i="3"/>
  <c r="V404" i="3"/>
  <c r="W404" i="3"/>
  <c r="X404" i="3"/>
  <c r="O405" i="3"/>
  <c r="P405" i="3"/>
  <c r="Q405" i="3"/>
  <c r="R405" i="3"/>
  <c r="S405" i="3"/>
  <c r="T405" i="3"/>
  <c r="U405" i="3"/>
  <c r="V405" i="3"/>
  <c r="W405" i="3"/>
  <c r="X405" i="3"/>
  <c r="O406" i="3"/>
  <c r="P406" i="3"/>
  <c r="Q406" i="3"/>
  <c r="R406" i="3"/>
  <c r="S406" i="3"/>
  <c r="T406" i="3"/>
  <c r="U406" i="3"/>
  <c r="V406" i="3"/>
  <c r="W406" i="3"/>
  <c r="X406" i="3"/>
  <c r="O407" i="3"/>
  <c r="P407" i="3"/>
  <c r="Q407" i="3"/>
  <c r="R407" i="3"/>
  <c r="S407" i="3"/>
  <c r="T407" i="3"/>
  <c r="U407" i="3"/>
  <c r="V407" i="3"/>
  <c r="W407" i="3"/>
  <c r="X407" i="3"/>
  <c r="AD394" i="5" l="1"/>
  <c r="AD386" i="5"/>
  <c r="AD346" i="5"/>
  <c r="AD322" i="5"/>
  <c r="AC403" i="5"/>
  <c r="AD400" i="5"/>
  <c r="AC395" i="5"/>
  <c r="AD392" i="5"/>
  <c r="AC387" i="5"/>
  <c r="AD384" i="5"/>
  <c r="AC379" i="5"/>
  <c r="AD376" i="5"/>
  <c r="AC371" i="5"/>
  <c r="AD368" i="5"/>
  <c r="AC363" i="5"/>
  <c r="AD360" i="5"/>
  <c r="AC355" i="5"/>
  <c r="AD352" i="5"/>
  <c r="AC347" i="5"/>
  <c r="AD344" i="5"/>
  <c r="AC339" i="5"/>
  <c r="AD336" i="5"/>
  <c r="AC331" i="5"/>
  <c r="AD328" i="5"/>
  <c r="AC323" i="5"/>
  <c r="AD362" i="5"/>
  <c r="AD338" i="5"/>
  <c r="AD407" i="5"/>
  <c r="AC402" i="5"/>
  <c r="AD399" i="5"/>
  <c r="AD391" i="5"/>
  <c r="AD383" i="5"/>
  <c r="AC378" i="5"/>
  <c r="AD375" i="5"/>
  <c r="AC370" i="5"/>
  <c r="AD367" i="5"/>
  <c r="AD359" i="5"/>
  <c r="AC354" i="5"/>
  <c r="AD351" i="5"/>
  <c r="AD343" i="5"/>
  <c r="AD335" i="5"/>
  <c r="AC330" i="5"/>
  <c r="AD327" i="5"/>
  <c r="AD404" i="5"/>
  <c r="AD396" i="5"/>
  <c r="AD388" i="5"/>
  <c r="AD380" i="5"/>
  <c r="AD372" i="5"/>
  <c r="AD364" i="5"/>
  <c r="AD356" i="5"/>
  <c r="AD348" i="5"/>
  <c r="AD340" i="5"/>
  <c r="AD332" i="5"/>
  <c r="AD324" i="5"/>
  <c r="AD401" i="5"/>
  <c r="AD321" i="5"/>
  <c r="AD382" i="5"/>
  <c r="AD358" i="5"/>
  <c r="AD350" i="5"/>
  <c r="AD342" i="5"/>
  <c r="AD334" i="5"/>
  <c r="AD326" i="5"/>
  <c r="AD406" i="5"/>
  <c r="AD398" i="5"/>
  <c r="AD390" i="5"/>
  <c r="AD374" i="5"/>
  <c r="AD366" i="5"/>
  <c r="AB307" i="5"/>
  <c r="AB308" i="5"/>
  <c r="AC308" i="5"/>
  <c r="AB309" i="5"/>
  <c r="AB310" i="5"/>
  <c r="AB311" i="5"/>
  <c r="AB312" i="5"/>
  <c r="AB313" i="5"/>
  <c r="AD313" i="5"/>
  <c r="AB314" i="5"/>
  <c r="AB315" i="5"/>
  <c r="AB316" i="5"/>
  <c r="AC316" i="5"/>
  <c r="AB317" i="5"/>
  <c r="AB318" i="5"/>
  <c r="AB319" i="5"/>
  <c r="AB320" i="5"/>
  <c r="AC320" i="5"/>
  <c r="O307" i="5"/>
  <c r="P307" i="5"/>
  <c r="Q307" i="5"/>
  <c r="R307" i="5"/>
  <c r="S307" i="5"/>
  <c r="T307" i="5"/>
  <c r="U307" i="5"/>
  <c r="AC307" i="5" s="1"/>
  <c r="V307" i="5"/>
  <c r="W307" i="5"/>
  <c r="X307" i="5"/>
  <c r="O308" i="5"/>
  <c r="P308" i="5"/>
  <c r="Q308" i="5"/>
  <c r="R308" i="5"/>
  <c r="S308" i="5"/>
  <c r="T308" i="5"/>
  <c r="U308" i="5"/>
  <c r="AD308" i="5" s="1"/>
  <c r="V308" i="5"/>
  <c r="W308" i="5"/>
  <c r="X308" i="5"/>
  <c r="O309" i="5"/>
  <c r="P309" i="5"/>
  <c r="Q309" i="5"/>
  <c r="R309" i="5"/>
  <c r="S309" i="5"/>
  <c r="T309" i="5"/>
  <c r="U309" i="5"/>
  <c r="AC309" i="5" s="1"/>
  <c r="V309" i="5"/>
  <c r="W309" i="5"/>
  <c r="X309" i="5"/>
  <c r="O310" i="5"/>
  <c r="P310" i="5"/>
  <c r="Q310" i="5"/>
  <c r="R310" i="5"/>
  <c r="S310" i="5"/>
  <c r="T310" i="5"/>
  <c r="U310" i="5"/>
  <c r="AD310" i="5" s="1"/>
  <c r="V310" i="5"/>
  <c r="W310" i="5"/>
  <c r="X310" i="5"/>
  <c r="O311" i="5"/>
  <c r="P311" i="5"/>
  <c r="Q311" i="5"/>
  <c r="R311" i="5"/>
  <c r="S311" i="5"/>
  <c r="T311" i="5"/>
  <c r="U311" i="5"/>
  <c r="AC311" i="5" s="1"/>
  <c r="V311" i="5"/>
  <c r="AD311" i="5" s="1"/>
  <c r="W311" i="5"/>
  <c r="X311" i="5"/>
  <c r="O312" i="5"/>
  <c r="P312" i="5"/>
  <c r="Q312" i="5"/>
  <c r="R312" i="5"/>
  <c r="S312" i="5"/>
  <c r="T312" i="5"/>
  <c r="U312" i="5"/>
  <c r="AC312" i="5" s="1"/>
  <c r="V312" i="5"/>
  <c r="W312" i="5"/>
  <c r="X312" i="5"/>
  <c r="O313" i="5"/>
  <c r="P313" i="5"/>
  <c r="Q313" i="5"/>
  <c r="R313" i="5"/>
  <c r="S313" i="5"/>
  <c r="T313" i="5"/>
  <c r="U313" i="5"/>
  <c r="V313" i="5"/>
  <c r="W313" i="5"/>
  <c r="AC313" i="5" s="1"/>
  <c r="X313" i="5"/>
  <c r="O314" i="5"/>
  <c r="P314" i="5"/>
  <c r="Q314" i="5"/>
  <c r="R314" i="5"/>
  <c r="S314" i="5"/>
  <c r="T314" i="5"/>
  <c r="U314" i="5"/>
  <c r="AD314" i="5" s="1"/>
  <c r="V314" i="5"/>
  <c r="W314" i="5"/>
  <c r="X314" i="5"/>
  <c r="O315" i="5"/>
  <c r="P315" i="5"/>
  <c r="Q315" i="5"/>
  <c r="R315" i="5"/>
  <c r="S315" i="5"/>
  <c r="T315" i="5"/>
  <c r="U315" i="5"/>
  <c r="AC315" i="5" s="1"/>
  <c r="V315" i="5"/>
  <c r="W315" i="5"/>
  <c r="X315" i="5"/>
  <c r="O316" i="5"/>
  <c r="P316" i="5"/>
  <c r="Q316" i="5"/>
  <c r="R316" i="5"/>
  <c r="S316" i="5"/>
  <c r="T316" i="5"/>
  <c r="U316" i="5"/>
  <c r="AD316" i="5" s="1"/>
  <c r="V316" i="5"/>
  <c r="W316" i="5"/>
  <c r="X316" i="5"/>
  <c r="O317" i="5"/>
  <c r="P317" i="5"/>
  <c r="Q317" i="5"/>
  <c r="R317" i="5"/>
  <c r="S317" i="5"/>
  <c r="T317" i="5"/>
  <c r="U317" i="5"/>
  <c r="AC317" i="5" s="1"/>
  <c r="V317" i="5"/>
  <c r="W317" i="5"/>
  <c r="X317" i="5"/>
  <c r="O318" i="5"/>
  <c r="P318" i="5"/>
  <c r="Q318" i="5"/>
  <c r="R318" i="5"/>
  <c r="S318" i="5"/>
  <c r="T318" i="5"/>
  <c r="U318" i="5"/>
  <c r="AD318" i="5" s="1"/>
  <c r="V318" i="5"/>
  <c r="W318" i="5"/>
  <c r="X318" i="5"/>
  <c r="O319" i="5"/>
  <c r="P319" i="5"/>
  <c r="Q319" i="5"/>
  <c r="R319" i="5"/>
  <c r="S319" i="5"/>
  <c r="T319" i="5"/>
  <c r="U319" i="5"/>
  <c r="V319" i="5"/>
  <c r="W319" i="5"/>
  <c r="X319" i="5"/>
  <c r="O320" i="5"/>
  <c r="P320" i="5"/>
  <c r="Q320" i="5"/>
  <c r="R320" i="5"/>
  <c r="S320" i="5"/>
  <c r="T320" i="5"/>
  <c r="U320" i="5"/>
  <c r="V320" i="5"/>
  <c r="W320" i="5"/>
  <c r="X320" i="5"/>
  <c r="O307" i="3"/>
  <c r="P307" i="3"/>
  <c r="Q307" i="3"/>
  <c r="R307" i="3"/>
  <c r="S307" i="3"/>
  <c r="T307" i="3"/>
  <c r="U307" i="3"/>
  <c r="V307" i="3"/>
  <c r="W307" i="3"/>
  <c r="X307" i="3"/>
  <c r="O308" i="3"/>
  <c r="P308" i="3"/>
  <c r="Q308" i="3"/>
  <c r="R308" i="3"/>
  <c r="S308" i="3"/>
  <c r="T308" i="3"/>
  <c r="U308" i="3"/>
  <c r="V308" i="3"/>
  <c r="W308" i="3"/>
  <c r="X308" i="3"/>
  <c r="O309" i="3"/>
  <c r="P309" i="3"/>
  <c r="Q309" i="3"/>
  <c r="R309" i="3"/>
  <c r="S309" i="3"/>
  <c r="T309" i="3"/>
  <c r="U309" i="3"/>
  <c r="V309" i="3"/>
  <c r="W309" i="3"/>
  <c r="X309" i="3"/>
  <c r="O310" i="3"/>
  <c r="P310" i="3"/>
  <c r="Q310" i="3"/>
  <c r="R310" i="3"/>
  <c r="S310" i="3"/>
  <c r="T310" i="3"/>
  <c r="U310" i="3"/>
  <c r="V310" i="3"/>
  <c r="W310" i="3"/>
  <c r="X310" i="3"/>
  <c r="O311" i="3"/>
  <c r="P311" i="3"/>
  <c r="Q311" i="3"/>
  <c r="R311" i="3"/>
  <c r="S311" i="3"/>
  <c r="T311" i="3"/>
  <c r="U311" i="3"/>
  <c r="V311" i="3"/>
  <c r="W311" i="3"/>
  <c r="X311" i="3"/>
  <c r="O312" i="3"/>
  <c r="P312" i="3"/>
  <c r="Q312" i="3"/>
  <c r="R312" i="3"/>
  <c r="S312" i="3"/>
  <c r="T312" i="3"/>
  <c r="U312" i="3"/>
  <c r="V312" i="3"/>
  <c r="W312" i="3"/>
  <c r="X312" i="3"/>
  <c r="O313" i="3"/>
  <c r="P313" i="3"/>
  <c r="Q313" i="3"/>
  <c r="R313" i="3"/>
  <c r="S313" i="3"/>
  <c r="T313" i="3"/>
  <c r="U313" i="3"/>
  <c r="V313" i="3"/>
  <c r="W313" i="3"/>
  <c r="X313" i="3"/>
  <c r="O314" i="3"/>
  <c r="P314" i="3"/>
  <c r="Q314" i="3"/>
  <c r="R314" i="3"/>
  <c r="S314" i="3"/>
  <c r="T314" i="3"/>
  <c r="U314" i="3"/>
  <c r="V314" i="3"/>
  <c r="W314" i="3"/>
  <c r="X314" i="3"/>
  <c r="O315" i="3"/>
  <c r="P315" i="3"/>
  <c r="Q315" i="3"/>
  <c r="R315" i="3"/>
  <c r="S315" i="3"/>
  <c r="T315" i="3"/>
  <c r="U315" i="3"/>
  <c r="V315" i="3"/>
  <c r="W315" i="3"/>
  <c r="X315" i="3"/>
  <c r="O316" i="3"/>
  <c r="P316" i="3"/>
  <c r="Q316" i="3"/>
  <c r="R316" i="3"/>
  <c r="S316" i="3"/>
  <c r="T316" i="3"/>
  <c r="U316" i="3"/>
  <c r="V316" i="3"/>
  <c r="W316" i="3"/>
  <c r="X316" i="3"/>
  <c r="O317" i="3"/>
  <c r="P317" i="3"/>
  <c r="Q317" i="3"/>
  <c r="R317" i="3"/>
  <c r="S317" i="3"/>
  <c r="T317" i="3"/>
  <c r="U317" i="3"/>
  <c r="V317" i="3"/>
  <c r="W317" i="3"/>
  <c r="X317" i="3"/>
  <c r="O318" i="3"/>
  <c r="P318" i="3"/>
  <c r="Q318" i="3"/>
  <c r="R318" i="3"/>
  <c r="S318" i="3"/>
  <c r="T318" i="3"/>
  <c r="U318" i="3"/>
  <c r="V318" i="3"/>
  <c r="W318" i="3"/>
  <c r="X318" i="3"/>
  <c r="O319" i="3"/>
  <c r="P319" i="3"/>
  <c r="Q319" i="3"/>
  <c r="R319" i="3"/>
  <c r="S319" i="3"/>
  <c r="T319" i="3"/>
  <c r="U319" i="3"/>
  <c r="V319" i="3"/>
  <c r="W319" i="3"/>
  <c r="X319" i="3"/>
  <c r="O320" i="3"/>
  <c r="P320" i="3"/>
  <c r="Q320" i="3"/>
  <c r="R320" i="3"/>
  <c r="S320" i="3"/>
  <c r="T320" i="3"/>
  <c r="U320" i="3"/>
  <c r="V320" i="3"/>
  <c r="W320" i="3"/>
  <c r="X320" i="3"/>
  <c r="AA330" i="3"/>
  <c r="AA329" i="3"/>
  <c r="AA328" i="3"/>
  <c r="AA327" i="3"/>
  <c r="AA326" i="3"/>
  <c r="AA325" i="3"/>
  <c r="AA324" i="3"/>
  <c r="AA323" i="3"/>
  <c r="AA322" i="3"/>
  <c r="AA321" i="3"/>
  <c r="AA320" i="3"/>
  <c r="AA319" i="3"/>
  <c r="AA318" i="3"/>
  <c r="AA317" i="3"/>
  <c r="AC314" i="5" l="1"/>
  <c r="AC319" i="5"/>
  <c r="AC318" i="5"/>
  <c r="AD315" i="5"/>
  <c r="AC310" i="5"/>
  <c r="AD307" i="5"/>
  <c r="AD312" i="5"/>
  <c r="AD317" i="5"/>
  <c r="AD309" i="5"/>
  <c r="AD320" i="5"/>
  <c r="AD319" i="5"/>
  <c r="AB300" i="5"/>
  <c r="AB301" i="5"/>
  <c r="AD301" i="5"/>
  <c r="AB302" i="5"/>
  <c r="AB303" i="5"/>
  <c r="AB304" i="5"/>
  <c r="AB305" i="5"/>
  <c r="AC305" i="5"/>
  <c r="AD305" i="5"/>
  <c r="AB306" i="5"/>
  <c r="AC306" i="5"/>
  <c r="O300" i="5"/>
  <c r="P300" i="5"/>
  <c r="Q300" i="5"/>
  <c r="R300" i="5"/>
  <c r="S300" i="5"/>
  <c r="T300" i="5"/>
  <c r="U300" i="5"/>
  <c r="AD300" i="5" s="1"/>
  <c r="V300" i="5"/>
  <c r="W300" i="5"/>
  <c r="X300" i="5"/>
  <c r="O301" i="5"/>
  <c r="P301" i="5"/>
  <c r="Q301" i="5"/>
  <c r="R301" i="5"/>
  <c r="S301" i="5"/>
  <c r="T301" i="5"/>
  <c r="U301" i="5"/>
  <c r="AC301" i="5" s="1"/>
  <c r="V301" i="5"/>
  <c r="W301" i="5"/>
  <c r="X301" i="5"/>
  <c r="O302" i="5"/>
  <c r="P302" i="5"/>
  <c r="Q302" i="5"/>
  <c r="R302" i="5"/>
  <c r="S302" i="5"/>
  <c r="T302" i="5"/>
  <c r="U302" i="5"/>
  <c r="AC302" i="5" s="1"/>
  <c r="V302" i="5"/>
  <c r="W302" i="5"/>
  <c r="X302" i="5"/>
  <c r="O303" i="5"/>
  <c r="P303" i="5"/>
  <c r="Q303" i="5"/>
  <c r="R303" i="5"/>
  <c r="S303" i="5"/>
  <c r="T303" i="5"/>
  <c r="U303" i="5"/>
  <c r="AD303" i="5" s="1"/>
  <c r="V303" i="5"/>
  <c r="AC303" i="5" s="1"/>
  <c r="W303" i="5"/>
  <c r="X303" i="5"/>
  <c r="O304" i="5"/>
  <c r="P304" i="5"/>
  <c r="Q304" i="5"/>
  <c r="R304" i="5"/>
  <c r="S304" i="5"/>
  <c r="T304" i="5"/>
  <c r="U304" i="5"/>
  <c r="AC304" i="5" s="1"/>
  <c r="V304" i="5"/>
  <c r="W304" i="5"/>
  <c r="X304" i="5"/>
  <c r="O305" i="5"/>
  <c r="P305" i="5"/>
  <c r="Q305" i="5"/>
  <c r="R305" i="5"/>
  <c r="S305" i="5"/>
  <c r="T305" i="5"/>
  <c r="U305" i="5"/>
  <c r="V305" i="5"/>
  <c r="W305" i="5"/>
  <c r="X305" i="5"/>
  <c r="O306" i="5"/>
  <c r="P306" i="5"/>
  <c r="Q306" i="5"/>
  <c r="R306" i="5"/>
  <c r="S306" i="5"/>
  <c r="T306" i="5"/>
  <c r="U306" i="5"/>
  <c r="AD306" i="5" s="1"/>
  <c r="V306" i="5"/>
  <c r="W306" i="5"/>
  <c r="X306" i="5"/>
  <c r="O300" i="3"/>
  <c r="P300" i="3"/>
  <c r="Q300" i="3"/>
  <c r="R300" i="3"/>
  <c r="S300" i="3"/>
  <c r="T300" i="3"/>
  <c r="U300" i="3"/>
  <c r="V300" i="3"/>
  <c r="W300" i="3"/>
  <c r="X300" i="3"/>
  <c r="O301" i="3"/>
  <c r="P301" i="3"/>
  <c r="Q301" i="3"/>
  <c r="R301" i="3"/>
  <c r="S301" i="3"/>
  <c r="T301" i="3"/>
  <c r="U301" i="3"/>
  <c r="V301" i="3"/>
  <c r="W301" i="3"/>
  <c r="X301" i="3"/>
  <c r="O302" i="3"/>
  <c r="P302" i="3"/>
  <c r="Q302" i="3"/>
  <c r="R302" i="3"/>
  <c r="S302" i="3"/>
  <c r="T302" i="3"/>
  <c r="U302" i="3"/>
  <c r="V302" i="3"/>
  <c r="W302" i="3"/>
  <c r="X302" i="3"/>
  <c r="O303" i="3"/>
  <c r="P303" i="3"/>
  <c r="Q303" i="3"/>
  <c r="R303" i="3"/>
  <c r="S303" i="3"/>
  <c r="T303" i="3"/>
  <c r="U303" i="3"/>
  <c r="V303" i="3"/>
  <c r="W303" i="3"/>
  <c r="X303" i="3"/>
  <c r="O304" i="3"/>
  <c r="P304" i="3"/>
  <c r="Q304" i="3"/>
  <c r="R304" i="3"/>
  <c r="S304" i="3"/>
  <c r="T304" i="3"/>
  <c r="U304" i="3"/>
  <c r="V304" i="3"/>
  <c r="W304" i="3"/>
  <c r="X304" i="3"/>
  <c r="O305" i="3"/>
  <c r="P305" i="3"/>
  <c r="Q305" i="3"/>
  <c r="R305" i="3"/>
  <c r="S305" i="3"/>
  <c r="T305" i="3"/>
  <c r="U305" i="3"/>
  <c r="V305" i="3"/>
  <c r="W305" i="3"/>
  <c r="X305" i="3"/>
  <c r="O306" i="3"/>
  <c r="P306" i="3"/>
  <c r="Q306" i="3"/>
  <c r="R306" i="3"/>
  <c r="S306" i="3"/>
  <c r="T306" i="3"/>
  <c r="U306" i="3"/>
  <c r="V306" i="3"/>
  <c r="W306" i="3"/>
  <c r="X306" i="3"/>
  <c r="AA316" i="3"/>
  <c r="AA315" i="3"/>
  <c r="AA314" i="3"/>
  <c r="AA313" i="3"/>
  <c r="AA312" i="3"/>
  <c r="AA311" i="3"/>
  <c r="AA310" i="3"/>
  <c r="AA309" i="3"/>
  <c r="AA308" i="3"/>
  <c r="AA307" i="3"/>
  <c r="AC300" i="5" l="1"/>
  <c r="AD302" i="5"/>
  <c r="AD304" i="5"/>
  <c r="AA306" i="3"/>
  <c r="AA305" i="3"/>
  <c r="AA304" i="3"/>
  <c r="AA303" i="3"/>
  <c r="AA302" i="3"/>
  <c r="AA301" i="3"/>
  <c r="AA300" i="3"/>
  <c r="AB282" i="5"/>
  <c r="AC282" i="5"/>
  <c r="AD282" i="5"/>
  <c r="AB283" i="5"/>
  <c r="AC283" i="5"/>
  <c r="AD283" i="5"/>
  <c r="AB284" i="5"/>
  <c r="AC284" i="5"/>
  <c r="AD284" i="5"/>
  <c r="AB285" i="5"/>
  <c r="AC285" i="5"/>
  <c r="AD285" i="5"/>
  <c r="AB286" i="5"/>
  <c r="AC286" i="5"/>
  <c r="AD286" i="5"/>
  <c r="AB287" i="5"/>
  <c r="AC287" i="5"/>
  <c r="AD287" i="5"/>
  <c r="AB288" i="5"/>
  <c r="AC288" i="5"/>
  <c r="AD288" i="5"/>
  <c r="AB289" i="5"/>
  <c r="AC289" i="5"/>
  <c r="AD289" i="5"/>
  <c r="AB290" i="5"/>
  <c r="AC290" i="5"/>
  <c r="AD290" i="5"/>
  <c r="AB291" i="5"/>
  <c r="AC291" i="5"/>
  <c r="AD291" i="5"/>
  <c r="AB292" i="5"/>
  <c r="AC292" i="5"/>
  <c r="AD292" i="5"/>
  <c r="AB293" i="5"/>
  <c r="AC293" i="5"/>
  <c r="AD293" i="5"/>
  <c r="AB294" i="5"/>
  <c r="AC294" i="5"/>
  <c r="AD294" i="5"/>
  <c r="AB295" i="5"/>
  <c r="AC295" i="5"/>
  <c r="AD295" i="5"/>
  <c r="AB296" i="5"/>
  <c r="AC296" i="5"/>
  <c r="AD296" i="5"/>
  <c r="AB297" i="5"/>
  <c r="AC297" i="5"/>
  <c r="AD297" i="5"/>
  <c r="AB298" i="5"/>
  <c r="AC298" i="5"/>
  <c r="AD298" i="5"/>
  <c r="AB299" i="5"/>
  <c r="AC299" i="5"/>
  <c r="AD299" i="5"/>
  <c r="O281" i="5"/>
  <c r="P281" i="5"/>
  <c r="Q281" i="5"/>
  <c r="R281" i="5"/>
  <c r="S281" i="5"/>
  <c r="T281" i="5"/>
  <c r="U281" i="5"/>
  <c r="V281" i="5"/>
  <c r="W281" i="5"/>
  <c r="X281" i="5"/>
  <c r="O282" i="5"/>
  <c r="P282" i="5"/>
  <c r="Q282" i="5"/>
  <c r="R282" i="5"/>
  <c r="S282" i="5"/>
  <c r="T282" i="5"/>
  <c r="U282" i="5"/>
  <c r="V282" i="5"/>
  <c r="W282" i="5"/>
  <c r="X282" i="5"/>
  <c r="O283" i="5"/>
  <c r="P283" i="5"/>
  <c r="Q283" i="5"/>
  <c r="R283" i="5"/>
  <c r="S283" i="5"/>
  <c r="T283" i="5"/>
  <c r="U283" i="5"/>
  <c r="V283" i="5"/>
  <c r="W283" i="5"/>
  <c r="X283" i="5"/>
  <c r="O284" i="5"/>
  <c r="P284" i="5"/>
  <c r="Q284" i="5"/>
  <c r="R284" i="5"/>
  <c r="S284" i="5"/>
  <c r="T284" i="5"/>
  <c r="U284" i="5"/>
  <c r="V284" i="5"/>
  <c r="W284" i="5"/>
  <c r="X284" i="5"/>
  <c r="O285" i="5"/>
  <c r="P285" i="5"/>
  <c r="Q285" i="5"/>
  <c r="R285" i="5"/>
  <c r="S285" i="5"/>
  <c r="T285" i="5"/>
  <c r="U285" i="5"/>
  <c r="V285" i="5"/>
  <c r="W285" i="5"/>
  <c r="X285" i="5"/>
  <c r="O286" i="5"/>
  <c r="P286" i="5"/>
  <c r="Q286" i="5"/>
  <c r="R286" i="5"/>
  <c r="S286" i="5"/>
  <c r="T286" i="5"/>
  <c r="U286" i="5"/>
  <c r="V286" i="5"/>
  <c r="W286" i="5"/>
  <c r="X286" i="5"/>
  <c r="O287" i="5"/>
  <c r="P287" i="5"/>
  <c r="Q287" i="5"/>
  <c r="R287" i="5"/>
  <c r="S287" i="5"/>
  <c r="T287" i="5"/>
  <c r="U287" i="5"/>
  <c r="V287" i="5"/>
  <c r="W287" i="5"/>
  <c r="X287" i="5"/>
  <c r="O288" i="5"/>
  <c r="P288" i="5"/>
  <c r="Q288" i="5"/>
  <c r="R288" i="5"/>
  <c r="S288" i="5"/>
  <c r="T288" i="5"/>
  <c r="U288" i="5"/>
  <c r="V288" i="5"/>
  <c r="W288" i="5"/>
  <c r="X288" i="5"/>
  <c r="O289" i="5"/>
  <c r="P289" i="5"/>
  <c r="Q289" i="5"/>
  <c r="R289" i="5"/>
  <c r="S289" i="5"/>
  <c r="T289" i="5"/>
  <c r="U289" i="5"/>
  <c r="V289" i="5"/>
  <c r="W289" i="5"/>
  <c r="X289" i="5"/>
  <c r="O290" i="5"/>
  <c r="P290" i="5"/>
  <c r="Q290" i="5"/>
  <c r="R290" i="5"/>
  <c r="S290" i="5"/>
  <c r="T290" i="5"/>
  <c r="U290" i="5"/>
  <c r="V290" i="5"/>
  <c r="W290" i="5"/>
  <c r="X290" i="5"/>
  <c r="O291" i="5"/>
  <c r="P291" i="5"/>
  <c r="Q291" i="5"/>
  <c r="R291" i="5"/>
  <c r="S291" i="5"/>
  <c r="T291" i="5"/>
  <c r="U291" i="5"/>
  <c r="V291" i="5"/>
  <c r="W291" i="5"/>
  <c r="X291" i="5"/>
  <c r="O292" i="5"/>
  <c r="P292" i="5"/>
  <c r="Q292" i="5"/>
  <c r="R292" i="5"/>
  <c r="S292" i="5"/>
  <c r="T292" i="5"/>
  <c r="U292" i="5"/>
  <c r="V292" i="5"/>
  <c r="W292" i="5"/>
  <c r="X292" i="5"/>
  <c r="O293" i="5"/>
  <c r="P293" i="5"/>
  <c r="Q293" i="5"/>
  <c r="R293" i="5"/>
  <c r="S293" i="5"/>
  <c r="T293" i="5"/>
  <c r="U293" i="5"/>
  <c r="V293" i="5"/>
  <c r="W293" i="5"/>
  <c r="X293" i="5"/>
  <c r="O294" i="5"/>
  <c r="P294" i="5"/>
  <c r="Q294" i="5"/>
  <c r="R294" i="5"/>
  <c r="S294" i="5"/>
  <c r="T294" i="5"/>
  <c r="U294" i="5"/>
  <c r="V294" i="5"/>
  <c r="W294" i="5"/>
  <c r="X294" i="5"/>
  <c r="O295" i="5"/>
  <c r="P295" i="5"/>
  <c r="Q295" i="5"/>
  <c r="R295" i="5"/>
  <c r="S295" i="5"/>
  <c r="T295" i="5"/>
  <c r="U295" i="5"/>
  <c r="V295" i="5"/>
  <c r="W295" i="5"/>
  <c r="X295" i="5"/>
  <c r="O296" i="5"/>
  <c r="P296" i="5"/>
  <c r="Q296" i="5"/>
  <c r="R296" i="5"/>
  <c r="S296" i="5"/>
  <c r="T296" i="5"/>
  <c r="U296" i="5"/>
  <c r="V296" i="5"/>
  <c r="W296" i="5"/>
  <c r="X296" i="5"/>
  <c r="O297" i="5"/>
  <c r="P297" i="5"/>
  <c r="Q297" i="5"/>
  <c r="R297" i="5"/>
  <c r="S297" i="5"/>
  <c r="T297" i="5"/>
  <c r="U297" i="5"/>
  <c r="V297" i="5"/>
  <c r="W297" i="5"/>
  <c r="X297" i="5"/>
  <c r="O298" i="5"/>
  <c r="P298" i="5"/>
  <c r="Q298" i="5"/>
  <c r="R298" i="5"/>
  <c r="S298" i="5"/>
  <c r="T298" i="5"/>
  <c r="U298" i="5"/>
  <c r="V298" i="5"/>
  <c r="W298" i="5"/>
  <c r="X298" i="5"/>
  <c r="O299" i="5"/>
  <c r="P299" i="5"/>
  <c r="Q299" i="5"/>
  <c r="R299" i="5"/>
  <c r="S299" i="5"/>
  <c r="T299" i="5"/>
  <c r="U299" i="5"/>
  <c r="V299" i="5"/>
  <c r="W299" i="5"/>
  <c r="X299" i="5"/>
  <c r="O281" i="3"/>
  <c r="P281" i="3"/>
  <c r="Q281" i="3"/>
  <c r="R281" i="3"/>
  <c r="S281" i="3"/>
  <c r="T281" i="3"/>
  <c r="U281" i="3"/>
  <c r="V281" i="3"/>
  <c r="W281" i="3"/>
  <c r="X281" i="3"/>
  <c r="O282" i="3"/>
  <c r="P282" i="3"/>
  <c r="Q282" i="3"/>
  <c r="R282" i="3"/>
  <c r="S282" i="3"/>
  <c r="T282" i="3"/>
  <c r="U282" i="3"/>
  <c r="V282" i="3"/>
  <c r="W282" i="3"/>
  <c r="X282" i="3"/>
  <c r="O283" i="3"/>
  <c r="P283" i="3"/>
  <c r="Q283" i="3"/>
  <c r="R283" i="3"/>
  <c r="S283" i="3"/>
  <c r="T283" i="3"/>
  <c r="U283" i="3"/>
  <c r="V283" i="3"/>
  <c r="W283" i="3"/>
  <c r="X283" i="3"/>
  <c r="O284" i="3"/>
  <c r="P284" i="3"/>
  <c r="Q284" i="3"/>
  <c r="R284" i="3"/>
  <c r="S284" i="3"/>
  <c r="T284" i="3"/>
  <c r="U284" i="3"/>
  <c r="V284" i="3"/>
  <c r="W284" i="3"/>
  <c r="X284" i="3"/>
  <c r="O285" i="3"/>
  <c r="P285" i="3"/>
  <c r="Q285" i="3"/>
  <c r="R285" i="3"/>
  <c r="S285" i="3"/>
  <c r="T285" i="3"/>
  <c r="U285" i="3"/>
  <c r="V285" i="3"/>
  <c r="W285" i="3"/>
  <c r="X285" i="3"/>
  <c r="O286" i="3"/>
  <c r="P286" i="3"/>
  <c r="Q286" i="3"/>
  <c r="R286" i="3"/>
  <c r="S286" i="3"/>
  <c r="T286" i="3"/>
  <c r="U286" i="3"/>
  <c r="V286" i="3"/>
  <c r="W286" i="3"/>
  <c r="X286" i="3"/>
  <c r="O287" i="3"/>
  <c r="P287" i="3"/>
  <c r="Q287" i="3"/>
  <c r="R287" i="3"/>
  <c r="S287" i="3"/>
  <c r="T287" i="3"/>
  <c r="U287" i="3"/>
  <c r="V287" i="3"/>
  <c r="W287" i="3"/>
  <c r="X287" i="3"/>
  <c r="O288" i="3"/>
  <c r="P288" i="3"/>
  <c r="Q288" i="3"/>
  <c r="R288" i="3"/>
  <c r="S288" i="3"/>
  <c r="T288" i="3"/>
  <c r="U288" i="3"/>
  <c r="V288" i="3"/>
  <c r="W288" i="3"/>
  <c r="X288" i="3"/>
  <c r="O289" i="3"/>
  <c r="P289" i="3"/>
  <c r="Q289" i="3"/>
  <c r="R289" i="3"/>
  <c r="S289" i="3"/>
  <c r="T289" i="3"/>
  <c r="U289" i="3"/>
  <c r="V289" i="3"/>
  <c r="W289" i="3"/>
  <c r="X289" i="3"/>
  <c r="O290" i="3"/>
  <c r="P290" i="3"/>
  <c r="Q290" i="3"/>
  <c r="R290" i="3"/>
  <c r="S290" i="3"/>
  <c r="T290" i="3"/>
  <c r="U290" i="3"/>
  <c r="V290" i="3"/>
  <c r="W290" i="3"/>
  <c r="X290" i="3"/>
  <c r="O291" i="3"/>
  <c r="P291" i="3"/>
  <c r="Q291" i="3"/>
  <c r="R291" i="3"/>
  <c r="S291" i="3"/>
  <c r="T291" i="3"/>
  <c r="U291" i="3"/>
  <c r="V291" i="3"/>
  <c r="W291" i="3"/>
  <c r="X291" i="3"/>
  <c r="O292" i="3"/>
  <c r="P292" i="3"/>
  <c r="Q292" i="3"/>
  <c r="R292" i="3"/>
  <c r="S292" i="3"/>
  <c r="T292" i="3"/>
  <c r="U292" i="3"/>
  <c r="V292" i="3"/>
  <c r="W292" i="3"/>
  <c r="X292" i="3"/>
  <c r="O293" i="3"/>
  <c r="P293" i="3"/>
  <c r="Q293" i="3"/>
  <c r="R293" i="3"/>
  <c r="S293" i="3"/>
  <c r="T293" i="3"/>
  <c r="U293" i="3"/>
  <c r="V293" i="3"/>
  <c r="W293" i="3"/>
  <c r="X293" i="3"/>
  <c r="O294" i="3"/>
  <c r="P294" i="3"/>
  <c r="Q294" i="3"/>
  <c r="R294" i="3"/>
  <c r="S294" i="3"/>
  <c r="T294" i="3"/>
  <c r="U294" i="3"/>
  <c r="V294" i="3"/>
  <c r="W294" i="3"/>
  <c r="X294" i="3"/>
  <c r="O295" i="3"/>
  <c r="P295" i="3"/>
  <c r="Q295" i="3"/>
  <c r="R295" i="3"/>
  <c r="S295" i="3"/>
  <c r="T295" i="3"/>
  <c r="U295" i="3"/>
  <c r="V295" i="3"/>
  <c r="W295" i="3"/>
  <c r="X295" i="3"/>
  <c r="O296" i="3"/>
  <c r="P296" i="3"/>
  <c r="Q296" i="3"/>
  <c r="R296" i="3"/>
  <c r="S296" i="3"/>
  <c r="T296" i="3"/>
  <c r="U296" i="3"/>
  <c r="V296" i="3"/>
  <c r="W296" i="3"/>
  <c r="X296" i="3"/>
  <c r="O297" i="3"/>
  <c r="P297" i="3"/>
  <c r="Q297" i="3"/>
  <c r="R297" i="3"/>
  <c r="S297" i="3"/>
  <c r="T297" i="3"/>
  <c r="U297" i="3"/>
  <c r="V297" i="3"/>
  <c r="W297" i="3"/>
  <c r="X297" i="3"/>
  <c r="O298" i="3"/>
  <c r="P298" i="3"/>
  <c r="Q298" i="3"/>
  <c r="R298" i="3"/>
  <c r="S298" i="3"/>
  <c r="T298" i="3"/>
  <c r="U298" i="3"/>
  <c r="V298" i="3"/>
  <c r="W298" i="3"/>
  <c r="X298" i="3"/>
  <c r="O299" i="3"/>
  <c r="P299" i="3"/>
  <c r="Q299" i="3"/>
  <c r="R299" i="3"/>
  <c r="S299" i="3"/>
  <c r="T299" i="3"/>
  <c r="U299" i="3"/>
  <c r="V299" i="3"/>
  <c r="W299" i="3"/>
  <c r="X299" i="3"/>
  <c r="O280" i="3"/>
  <c r="P280" i="3"/>
  <c r="Q280" i="3"/>
  <c r="R280" i="3"/>
  <c r="S280" i="3"/>
  <c r="T280" i="3"/>
  <c r="U280" i="3"/>
  <c r="V280" i="3"/>
  <c r="W280" i="3"/>
  <c r="AA299" i="3"/>
  <c r="AA298" i="3"/>
  <c r="AA297" i="3"/>
  <c r="AA296" i="3"/>
  <c r="AA295" i="3"/>
  <c r="AA294" i="3"/>
  <c r="AA293" i="3"/>
  <c r="AA292" i="3"/>
  <c r="AA291" i="3"/>
  <c r="AA290" i="3"/>
  <c r="AA289" i="3"/>
  <c r="AA288" i="3"/>
  <c r="AA287" i="3"/>
  <c r="AA286" i="3"/>
  <c r="AA285" i="3"/>
  <c r="AB281" i="5" l="1"/>
  <c r="AC281" i="5"/>
  <c r="AD281" i="5"/>
  <c r="O254" i="5"/>
  <c r="P254" i="5"/>
  <c r="Q254" i="5"/>
  <c r="R254" i="5"/>
  <c r="S254" i="5"/>
  <c r="T254" i="5"/>
  <c r="U254" i="5"/>
  <c r="V254" i="5"/>
  <c r="W254" i="5"/>
  <c r="X254" i="5"/>
  <c r="AB254" i="5"/>
  <c r="O255" i="5"/>
  <c r="P255" i="5"/>
  <c r="Q255" i="5"/>
  <c r="R255" i="5"/>
  <c r="S255" i="5"/>
  <c r="T255" i="5"/>
  <c r="U255" i="5"/>
  <c r="V255" i="5"/>
  <c r="W255" i="5"/>
  <c r="X255" i="5"/>
  <c r="AB255" i="5"/>
  <c r="O256" i="5"/>
  <c r="P256" i="5"/>
  <c r="Q256" i="5"/>
  <c r="R256" i="5"/>
  <c r="S256" i="5"/>
  <c r="T256" i="5"/>
  <c r="U256" i="5"/>
  <c r="V256" i="5"/>
  <c r="W256" i="5"/>
  <c r="X256" i="5"/>
  <c r="AB256" i="5"/>
  <c r="O257" i="5"/>
  <c r="P257" i="5"/>
  <c r="Q257" i="5"/>
  <c r="R257" i="5"/>
  <c r="S257" i="5"/>
  <c r="T257" i="5"/>
  <c r="U257" i="5"/>
  <c r="V257" i="5"/>
  <c r="W257" i="5"/>
  <c r="X257" i="5"/>
  <c r="AB257" i="5"/>
  <c r="O258" i="5"/>
  <c r="P258" i="5"/>
  <c r="Q258" i="5"/>
  <c r="R258" i="5"/>
  <c r="S258" i="5"/>
  <c r="T258" i="5"/>
  <c r="U258" i="5"/>
  <c r="V258" i="5"/>
  <c r="W258" i="5"/>
  <c r="X258" i="5"/>
  <c r="AB258" i="5"/>
  <c r="O259" i="5"/>
  <c r="P259" i="5"/>
  <c r="Q259" i="5"/>
  <c r="R259" i="5"/>
  <c r="S259" i="5"/>
  <c r="T259" i="5"/>
  <c r="U259" i="5"/>
  <c r="V259" i="5"/>
  <c r="W259" i="5"/>
  <c r="X259" i="5"/>
  <c r="AB259" i="5"/>
  <c r="O260" i="5"/>
  <c r="P260" i="5"/>
  <c r="Q260" i="5"/>
  <c r="R260" i="5"/>
  <c r="S260" i="5"/>
  <c r="T260" i="5"/>
  <c r="U260" i="5"/>
  <c r="V260" i="5"/>
  <c r="W260" i="5"/>
  <c r="X260" i="5"/>
  <c r="AB260" i="5"/>
  <c r="O261" i="5"/>
  <c r="P261" i="5"/>
  <c r="Q261" i="5"/>
  <c r="R261" i="5"/>
  <c r="S261" i="5"/>
  <c r="T261" i="5"/>
  <c r="U261" i="5"/>
  <c r="V261" i="5"/>
  <c r="W261" i="5"/>
  <c r="X261" i="5"/>
  <c r="AB261" i="5"/>
  <c r="O262" i="5"/>
  <c r="P262" i="5"/>
  <c r="Q262" i="5"/>
  <c r="R262" i="5"/>
  <c r="S262" i="5"/>
  <c r="T262" i="5"/>
  <c r="U262" i="5"/>
  <c r="V262" i="5"/>
  <c r="W262" i="5"/>
  <c r="X262" i="5"/>
  <c r="AB262" i="5"/>
  <c r="O263" i="5"/>
  <c r="P263" i="5"/>
  <c r="Q263" i="5"/>
  <c r="R263" i="5"/>
  <c r="S263" i="5"/>
  <c r="T263" i="5"/>
  <c r="U263" i="5"/>
  <c r="V263" i="5"/>
  <c r="W263" i="5"/>
  <c r="X263" i="5"/>
  <c r="AB263" i="5"/>
  <c r="O264" i="5"/>
  <c r="P264" i="5"/>
  <c r="Q264" i="5"/>
  <c r="R264" i="5"/>
  <c r="S264" i="5"/>
  <c r="T264" i="5"/>
  <c r="U264" i="5"/>
  <c r="V264" i="5"/>
  <c r="W264" i="5"/>
  <c r="X264" i="5"/>
  <c r="AB264" i="5"/>
  <c r="O265" i="5"/>
  <c r="P265" i="5"/>
  <c r="Q265" i="5"/>
  <c r="R265" i="5"/>
  <c r="S265" i="5"/>
  <c r="T265" i="5"/>
  <c r="U265" i="5"/>
  <c r="V265" i="5"/>
  <c r="W265" i="5"/>
  <c r="X265" i="5"/>
  <c r="AB265" i="5"/>
  <c r="AD265" i="5"/>
  <c r="O266" i="5"/>
  <c r="P266" i="5"/>
  <c r="Q266" i="5"/>
  <c r="R266" i="5"/>
  <c r="S266" i="5"/>
  <c r="T266" i="5"/>
  <c r="U266" i="5"/>
  <c r="V266" i="5"/>
  <c r="AC266" i="5" s="1"/>
  <c r="W266" i="5"/>
  <c r="X266" i="5"/>
  <c r="AB266" i="5"/>
  <c r="O267" i="5"/>
  <c r="P267" i="5"/>
  <c r="Q267" i="5"/>
  <c r="R267" i="5"/>
  <c r="S267" i="5"/>
  <c r="T267" i="5"/>
  <c r="U267" i="5"/>
  <c r="V267" i="5"/>
  <c r="W267" i="5"/>
  <c r="X267" i="5"/>
  <c r="AB267" i="5"/>
  <c r="O268" i="5"/>
  <c r="P268" i="5"/>
  <c r="Q268" i="5"/>
  <c r="R268" i="5"/>
  <c r="S268" i="5"/>
  <c r="T268" i="5"/>
  <c r="U268" i="5"/>
  <c r="V268" i="5"/>
  <c r="W268" i="5"/>
  <c r="X268" i="5"/>
  <c r="AB268" i="5"/>
  <c r="O269" i="5"/>
  <c r="P269" i="5"/>
  <c r="Q269" i="5"/>
  <c r="R269" i="5"/>
  <c r="S269" i="5"/>
  <c r="T269" i="5"/>
  <c r="U269" i="5"/>
  <c r="V269" i="5"/>
  <c r="W269" i="5"/>
  <c r="X269" i="5"/>
  <c r="AB269" i="5"/>
  <c r="O270" i="5"/>
  <c r="P270" i="5"/>
  <c r="Q270" i="5"/>
  <c r="R270" i="5"/>
  <c r="S270" i="5"/>
  <c r="T270" i="5"/>
  <c r="U270" i="5"/>
  <c r="V270" i="5"/>
  <c r="W270" i="5"/>
  <c r="X270" i="5"/>
  <c r="AB270" i="5"/>
  <c r="O271" i="5"/>
  <c r="P271" i="5"/>
  <c r="Q271" i="5"/>
  <c r="R271" i="5"/>
  <c r="S271" i="5"/>
  <c r="T271" i="5"/>
  <c r="U271" i="5"/>
  <c r="V271" i="5"/>
  <c r="W271" i="5"/>
  <c r="X271" i="5"/>
  <c r="AB271" i="5"/>
  <c r="O272" i="5"/>
  <c r="P272" i="5"/>
  <c r="Q272" i="5"/>
  <c r="R272" i="5"/>
  <c r="S272" i="5"/>
  <c r="T272" i="5"/>
  <c r="U272" i="5"/>
  <c r="V272" i="5"/>
  <c r="W272" i="5"/>
  <c r="X272" i="5"/>
  <c r="AB272" i="5"/>
  <c r="O273" i="5"/>
  <c r="P273" i="5"/>
  <c r="Q273" i="5"/>
  <c r="R273" i="5"/>
  <c r="S273" i="5"/>
  <c r="T273" i="5"/>
  <c r="U273" i="5"/>
  <c r="V273" i="5"/>
  <c r="W273" i="5"/>
  <c r="X273" i="5"/>
  <c r="AB273" i="5"/>
  <c r="O274" i="5"/>
  <c r="P274" i="5"/>
  <c r="Q274" i="5"/>
  <c r="R274" i="5"/>
  <c r="S274" i="5"/>
  <c r="T274" i="5"/>
  <c r="U274" i="5"/>
  <c r="V274" i="5"/>
  <c r="W274" i="5"/>
  <c r="X274" i="5"/>
  <c r="AB274" i="5"/>
  <c r="O275" i="5"/>
  <c r="P275" i="5"/>
  <c r="Q275" i="5"/>
  <c r="R275" i="5"/>
  <c r="S275" i="5"/>
  <c r="T275" i="5"/>
  <c r="U275" i="5"/>
  <c r="V275" i="5"/>
  <c r="W275" i="5"/>
  <c r="X275" i="5"/>
  <c r="AB275" i="5"/>
  <c r="O276" i="5"/>
  <c r="P276" i="5"/>
  <c r="Q276" i="5"/>
  <c r="R276" i="5"/>
  <c r="S276" i="5"/>
  <c r="T276" i="5"/>
  <c r="U276" i="5"/>
  <c r="V276" i="5"/>
  <c r="W276" i="5"/>
  <c r="X276" i="5"/>
  <c r="AB276" i="5"/>
  <c r="O277" i="5"/>
  <c r="P277" i="5"/>
  <c r="Q277" i="5"/>
  <c r="R277" i="5"/>
  <c r="S277" i="5"/>
  <c r="T277" i="5"/>
  <c r="U277" i="5"/>
  <c r="V277" i="5"/>
  <c r="W277" i="5"/>
  <c r="X277" i="5"/>
  <c r="AB277" i="5"/>
  <c r="O278" i="5"/>
  <c r="P278" i="5"/>
  <c r="Q278" i="5"/>
  <c r="R278" i="5"/>
  <c r="S278" i="5"/>
  <c r="T278" i="5"/>
  <c r="U278" i="5"/>
  <c r="V278" i="5"/>
  <c r="W278" i="5"/>
  <c r="X278" i="5"/>
  <c r="AB278" i="5"/>
  <c r="O279" i="5"/>
  <c r="P279" i="5"/>
  <c r="Q279" i="5"/>
  <c r="R279" i="5"/>
  <c r="S279" i="5"/>
  <c r="T279" i="5"/>
  <c r="U279" i="5"/>
  <c r="V279" i="5"/>
  <c r="W279" i="5"/>
  <c r="X279" i="5"/>
  <c r="AB279" i="5"/>
  <c r="O280" i="5"/>
  <c r="P280" i="5"/>
  <c r="Q280" i="5"/>
  <c r="R280" i="5"/>
  <c r="S280" i="5"/>
  <c r="T280" i="5"/>
  <c r="U280" i="5"/>
  <c r="V280" i="5"/>
  <c r="W280" i="5"/>
  <c r="X280" i="5"/>
  <c r="AB280" i="5"/>
  <c r="O254" i="3"/>
  <c r="P254" i="3"/>
  <c r="Q254" i="3"/>
  <c r="R254" i="3"/>
  <c r="S254" i="3"/>
  <c r="T254" i="3"/>
  <c r="U254" i="3"/>
  <c r="V254" i="3"/>
  <c r="W254" i="3"/>
  <c r="X254" i="3"/>
  <c r="O255" i="3"/>
  <c r="P255" i="3"/>
  <c r="Q255" i="3"/>
  <c r="R255" i="3"/>
  <c r="S255" i="3"/>
  <c r="T255" i="3"/>
  <c r="U255" i="3"/>
  <c r="V255" i="3"/>
  <c r="W255" i="3"/>
  <c r="X255" i="3"/>
  <c r="O256" i="3"/>
  <c r="P256" i="3"/>
  <c r="Q256" i="3"/>
  <c r="R256" i="3"/>
  <c r="S256" i="3"/>
  <c r="T256" i="3"/>
  <c r="U256" i="3"/>
  <c r="V256" i="3"/>
  <c r="W256" i="3"/>
  <c r="X256" i="3"/>
  <c r="O257" i="3"/>
  <c r="P257" i="3"/>
  <c r="Q257" i="3"/>
  <c r="R257" i="3"/>
  <c r="S257" i="3"/>
  <c r="T257" i="3"/>
  <c r="U257" i="3"/>
  <c r="V257" i="3"/>
  <c r="W257" i="3"/>
  <c r="X257" i="3"/>
  <c r="O258" i="3"/>
  <c r="P258" i="3"/>
  <c r="Q258" i="3"/>
  <c r="R258" i="3"/>
  <c r="S258" i="3"/>
  <c r="T258" i="3"/>
  <c r="U258" i="3"/>
  <c r="V258" i="3"/>
  <c r="W258" i="3"/>
  <c r="X258" i="3"/>
  <c r="O259" i="3"/>
  <c r="P259" i="3"/>
  <c r="Q259" i="3"/>
  <c r="R259" i="3"/>
  <c r="S259" i="3"/>
  <c r="T259" i="3"/>
  <c r="U259" i="3"/>
  <c r="V259" i="3"/>
  <c r="W259" i="3"/>
  <c r="X259" i="3"/>
  <c r="O260" i="3"/>
  <c r="P260" i="3"/>
  <c r="Q260" i="3"/>
  <c r="R260" i="3"/>
  <c r="S260" i="3"/>
  <c r="T260" i="3"/>
  <c r="U260" i="3"/>
  <c r="V260" i="3"/>
  <c r="W260" i="3"/>
  <c r="X260" i="3"/>
  <c r="O261" i="3"/>
  <c r="P261" i="3"/>
  <c r="Q261" i="3"/>
  <c r="R261" i="3"/>
  <c r="S261" i="3"/>
  <c r="T261" i="3"/>
  <c r="U261" i="3"/>
  <c r="V261" i="3"/>
  <c r="W261" i="3"/>
  <c r="X261" i="3"/>
  <c r="O262" i="3"/>
  <c r="P262" i="3"/>
  <c r="Q262" i="3"/>
  <c r="R262" i="3"/>
  <c r="S262" i="3"/>
  <c r="T262" i="3"/>
  <c r="U262" i="3"/>
  <c r="V262" i="3"/>
  <c r="W262" i="3"/>
  <c r="X262" i="3"/>
  <c r="O263" i="3"/>
  <c r="P263" i="3"/>
  <c r="Q263" i="3"/>
  <c r="R263" i="3"/>
  <c r="S263" i="3"/>
  <c r="T263" i="3"/>
  <c r="U263" i="3"/>
  <c r="V263" i="3"/>
  <c r="W263" i="3"/>
  <c r="X263" i="3"/>
  <c r="O264" i="3"/>
  <c r="P264" i="3"/>
  <c r="Q264" i="3"/>
  <c r="R264" i="3"/>
  <c r="S264" i="3"/>
  <c r="T264" i="3"/>
  <c r="U264" i="3"/>
  <c r="V264" i="3"/>
  <c r="W264" i="3"/>
  <c r="X264" i="3"/>
  <c r="O265" i="3"/>
  <c r="P265" i="3"/>
  <c r="Q265" i="3"/>
  <c r="R265" i="3"/>
  <c r="S265" i="3"/>
  <c r="T265" i="3"/>
  <c r="U265" i="3"/>
  <c r="V265" i="3"/>
  <c r="W265" i="3"/>
  <c r="X265" i="3"/>
  <c r="O266" i="3"/>
  <c r="P266" i="3"/>
  <c r="Q266" i="3"/>
  <c r="R266" i="3"/>
  <c r="S266" i="3"/>
  <c r="T266" i="3"/>
  <c r="U266" i="3"/>
  <c r="V266" i="3"/>
  <c r="W266" i="3"/>
  <c r="X266" i="3"/>
  <c r="O267" i="3"/>
  <c r="P267" i="3"/>
  <c r="Q267" i="3"/>
  <c r="R267" i="3"/>
  <c r="S267" i="3"/>
  <c r="T267" i="3"/>
  <c r="U267" i="3"/>
  <c r="V267" i="3"/>
  <c r="W267" i="3"/>
  <c r="X267" i="3"/>
  <c r="O268" i="3"/>
  <c r="P268" i="3"/>
  <c r="Q268" i="3"/>
  <c r="R268" i="3"/>
  <c r="S268" i="3"/>
  <c r="T268" i="3"/>
  <c r="U268" i="3"/>
  <c r="V268" i="3"/>
  <c r="W268" i="3"/>
  <c r="X268" i="3"/>
  <c r="O269" i="3"/>
  <c r="P269" i="3"/>
  <c r="Q269" i="3"/>
  <c r="R269" i="3"/>
  <c r="S269" i="3"/>
  <c r="T269" i="3"/>
  <c r="U269" i="3"/>
  <c r="V269" i="3"/>
  <c r="W269" i="3"/>
  <c r="X269" i="3"/>
  <c r="O270" i="3"/>
  <c r="P270" i="3"/>
  <c r="Q270" i="3"/>
  <c r="R270" i="3"/>
  <c r="S270" i="3"/>
  <c r="T270" i="3"/>
  <c r="U270" i="3"/>
  <c r="V270" i="3"/>
  <c r="W270" i="3"/>
  <c r="X270" i="3"/>
  <c r="O271" i="3"/>
  <c r="P271" i="3"/>
  <c r="Q271" i="3"/>
  <c r="R271" i="3"/>
  <c r="S271" i="3"/>
  <c r="T271" i="3"/>
  <c r="U271" i="3"/>
  <c r="V271" i="3"/>
  <c r="W271" i="3"/>
  <c r="X271" i="3"/>
  <c r="O272" i="3"/>
  <c r="P272" i="3"/>
  <c r="Q272" i="3"/>
  <c r="R272" i="3"/>
  <c r="S272" i="3"/>
  <c r="T272" i="3"/>
  <c r="U272" i="3"/>
  <c r="V272" i="3"/>
  <c r="W272" i="3"/>
  <c r="X272" i="3"/>
  <c r="O273" i="3"/>
  <c r="P273" i="3"/>
  <c r="Q273" i="3"/>
  <c r="R273" i="3"/>
  <c r="S273" i="3"/>
  <c r="T273" i="3"/>
  <c r="U273" i="3"/>
  <c r="V273" i="3"/>
  <c r="W273" i="3"/>
  <c r="X273" i="3"/>
  <c r="O274" i="3"/>
  <c r="P274" i="3"/>
  <c r="Q274" i="3"/>
  <c r="R274" i="3"/>
  <c r="S274" i="3"/>
  <c r="T274" i="3"/>
  <c r="U274" i="3"/>
  <c r="V274" i="3"/>
  <c r="W274" i="3"/>
  <c r="X274" i="3"/>
  <c r="O275" i="3"/>
  <c r="P275" i="3"/>
  <c r="Q275" i="3"/>
  <c r="R275" i="3"/>
  <c r="S275" i="3"/>
  <c r="T275" i="3"/>
  <c r="U275" i="3"/>
  <c r="V275" i="3"/>
  <c r="W275" i="3"/>
  <c r="X275" i="3"/>
  <c r="O276" i="3"/>
  <c r="P276" i="3"/>
  <c r="Q276" i="3"/>
  <c r="R276" i="3"/>
  <c r="S276" i="3"/>
  <c r="T276" i="3"/>
  <c r="U276" i="3"/>
  <c r="V276" i="3"/>
  <c r="W276" i="3"/>
  <c r="X276" i="3"/>
  <c r="O277" i="3"/>
  <c r="P277" i="3"/>
  <c r="Q277" i="3"/>
  <c r="R277" i="3"/>
  <c r="S277" i="3"/>
  <c r="T277" i="3"/>
  <c r="U277" i="3"/>
  <c r="V277" i="3"/>
  <c r="W277" i="3"/>
  <c r="X277" i="3"/>
  <c r="O278" i="3"/>
  <c r="P278" i="3"/>
  <c r="Q278" i="3"/>
  <c r="R278" i="3"/>
  <c r="S278" i="3"/>
  <c r="T278" i="3"/>
  <c r="U278" i="3"/>
  <c r="V278" i="3"/>
  <c r="W278" i="3"/>
  <c r="X278" i="3"/>
  <c r="O279" i="3"/>
  <c r="P279" i="3"/>
  <c r="Q279" i="3"/>
  <c r="R279" i="3"/>
  <c r="S279" i="3"/>
  <c r="T279" i="3"/>
  <c r="U279" i="3"/>
  <c r="V279" i="3"/>
  <c r="W279" i="3"/>
  <c r="X279" i="3"/>
  <c r="X280" i="3"/>
  <c r="AA284" i="3"/>
  <c r="AA283" i="3"/>
  <c r="AA282" i="3"/>
  <c r="AA281" i="3"/>
  <c r="AA280" i="3"/>
  <c r="AA279" i="3"/>
  <c r="AA278" i="3"/>
  <c r="AA277" i="3"/>
  <c r="AA276" i="3"/>
  <c r="AA275" i="3"/>
  <c r="AA274" i="3"/>
  <c r="AA273" i="3"/>
  <c r="AA272" i="3"/>
  <c r="AA271" i="3"/>
  <c r="AA270" i="3"/>
  <c r="AA269" i="3"/>
  <c r="AA268" i="3"/>
  <c r="AC262" i="5" l="1"/>
  <c r="AC254" i="5"/>
  <c r="AD266" i="5"/>
  <c r="AC264" i="5"/>
  <c r="AC258" i="5"/>
  <c r="AC280" i="5"/>
  <c r="AC278" i="5"/>
  <c r="AC274" i="5"/>
  <c r="AD256" i="5"/>
  <c r="AD273" i="5"/>
  <c r="AD257" i="5"/>
  <c r="AD261" i="5"/>
  <c r="AC270" i="5"/>
  <c r="AC255" i="5"/>
  <c r="AD254" i="5"/>
  <c r="AD274" i="5"/>
  <c r="AC272" i="5"/>
  <c r="AD258" i="5"/>
  <c r="AC277" i="5"/>
  <c r="AC269" i="5"/>
  <c r="AC261" i="5"/>
  <c r="AC256" i="5"/>
  <c r="AD277" i="5"/>
  <c r="AC276" i="5"/>
  <c r="AD270" i="5"/>
  <c r="AD269" i="5"/>
  <c r="AC268" i="5"/>
  <c r="AD262" i="5"/>
  <c r="AC260" i="5"/>
  <c r="AC275" i="5"/>
  <c r="AC267" i="5"/>
  <c r="AC259" i="5"/>
  <c r="AD278" i="5"/>
  <c r="AC279" i="5"/>
  <c r="AC273" i="5"/>
  <c r="AC271" i="5"/>
  <c r="AC265" i="5"/>
  <c r="AC263" i="5"/>
  <c r="AC257" i="5"/>
  <c r="AD280" i="5"/>
  <c r="AD276" i="5"/>
  <c r="AD272" i="5"/>
  <c r="AD268" i="5"/>
  <c r="AD264" i="5"/>
  <c r="AD260" i="5"/>
  <c r="AD279" i="5"/>
  <c r="AD275" i="5"/>
  <c r="AD271" i="5"/>
  <c r="AD267" i="5"/>
  <c r="AD263" i="5"/>
  <c r="AD259" i="5"/>
  <c r="AD255" i="5"/>
  <c r="AA267" i="3"/>
  <c r="AA266" i="3"/>
  <c r="AA265" i="3"/>
  <c r="AA264" i="3"/>
  <c r="AA263" i="3"/>
  <c r="AA262" i="3"/>
  <c r="AA261" i="3"/>
  <c r="AA260" i="3"/>
  <c r="AA259" i="3"/>
  <c r="AA258" i="3"/>
  <c r="AA257" i="3"/>
  <c r="AA256" i="3"/>
  <c r="AA255" i="3"/>
  <c r="AA25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O214" i="3"/>
  <c r="P214" i="3"/>
  <c r="Q214" i="3"/>
  <c r="R214" i="3"/>
  <c r="S214" i="3"/>
  <c r="T214" i="3"/>
  <c r="U214" i="3"/>
  <c r="V214" i="3"/>
  <c r="W214" i="3"/>
  <c r="X214" i="3"/>
  <c r="O215" i="3"/>
  <c r="P215" i="3"/>
  <c r="Q215" i="3"/>
  <c r="R215" i="3"/>
  <c r="S215" i="3"/>
  <c r="T215" i="3"/>
  <c r="U215" i="3"/>
  <c r="V215" i="3"/>
  <c r="W215" i="3"/>
  <c r="X215" i="3"/>
  <c r="O216" i="3"/>
  <c r="P216" i="3"/>
  <c r="Q216" i="3"/>
  <c r="R216" i="3"/>
  <c r="S216" i="3"/>
  <c r="T216" i="3"/>
  <c r="U216" i="3"/>
  <c r="V216" i="3"/>
  <c r="W216" i="3"/>
  <c r="X216" i="3"/>
  <c r="O217" i="3"/>
  <c r="P217" i="3"/>
  <c r="Q217" i="3"/>
  <c r="R217" i="3"/>
  <c r="S217" i="3"/>
  <c r="T217" i="3"/>
  <c r="U217" i="3"/>
  <c r="V217" i="3"/>
  <c r="W217" i="3"/>
  <c r="X217" i="3"/>
  <c r="O218" i="3"/>
  <c r="P218" i="3"/>
  <c r="Q218" i="3"/>
  <c r="R218" i="3"/>
  <c r="S218" i="3"/>
  <c r="T218" i="3"/>
  <c r="U218" i="3"/>
  <c r="V218" i="3"/>
  <c r="W218" i="3"/>
  <c r="X218" i="3"/>
  <c r="O219" i="3"/>
  <c r="P219" i="3"/>
  <c r="Q219" i="3"/>
  <c r="R219" i="3"/>
  <c r="S219" i="3"/>
  <c r="T219" i="3"/>
  <c r="U219" i="3"/>
  <c r="V219" i="3"/>
  <c r="W219" i="3"/>
  <c r="X219" i="3"/>
  <c r="O220" i="3"/>
  <c r="P220" i="3"/>
  <c r="Q220" i="3"/>
  <c r="R220" i="3"/>
  <c r="S220" i="3"/>
  <c r="T220" i="3"/>
  <c r="U220" i="3"/>
  <c r="V220" i="3"/>
  <c r="W220" i="3"/>
  <c r="X220" i="3"/>
  <c r="O221" i="3"/>
  <c r="P221" i="3"/>
  <c r="Q221" i="3"/>
  <c r="R221" i="3"/>
  <c r="S221" i="3"/>
  <c r="T221" i="3"/>
  <c r="U221" i="3"/>
  <c r="V221" i="3"/>
  <c r="W221" i="3"/>
  <c r="X221" i="3"/>
  <c r="O222" i="3"/>
  <c r="P222" i="3"/>
  <c r="Q222" i="3"/>
  <c r="R222" i="3"/>
  <c r="S222" i="3"/>
  <c r="T222" i="3"/>
  <c r="U222" i="3"/>
  <c r="V222" i="3"/>
  <c r="W222" i="3"/>
  <c r="X222" i="3"/>
  <c r="O223" i="3"/>
  <c r="P223" i="3"/>
  <c r="Q223" i="3"/>
  <c r="R223" i="3"/>
  <c r="S223" i="3"/>
  <c r="T223" i="3"/>
  <c r="U223" i="3"/>
  <c r="V223" i="3"/>
  <c r="W223" i="3"/>
  <c r="X223" i="3"/>
  <c r="O224" i="3"/>
  <c r="P224" i="3"/>
  <c r="Q224" i="3"/>
  <c r="R224" i="3"/>
  <c r="S224" i="3"/>
  <c r="T224" i="3"/>
  <c r="U224" i="3"/>
  <c r="V224" i="3"/>
  <c r="W224" i="3"/>
  <c r="X224" i="3"/>
  <c r="O225" i="3"/>
  <c r="P225" i="3"/>
  <c r="Q225" i="3"/>
  <c r="R225" i="3"/>
  <c r="S225" i="3"/>
  <c r="T225" i="3"/>
  <c r="U225" i="3"/>
  <c r="V225" i="3"/>
  <c r="W225" i="3"/>
  <c r="X225" i="3"/>
  <c r="O226" i="3"/>
  <c r="P226" i="3"/>
  <c r="Q226" i="3"/>
  <c r="R226" i="3"/>
  <c r="S226" i="3"/>
  <c r="T226" i="3"/>
  <c r="U226" i="3"/>
  <c r="V226" i="3"/>
  <c r="W226" i="3"/>
  <c r="X226" i="3"/>
  <c r="O227" i="3"/>
  <c r="P227" i="3"/>
  <c r="Q227" i="3"/>
  <c r="R227" i="3"/>
  <c r="S227" i="3"/>
  <c r="T227" i="3"/>
  <c r="U227" i="3"/>
  <c r="V227" i="3"/>
  <c r="W227" i="3"/>
  <c r="X227" i="3"/>
  <c r="O228" i="3"/>
  <c r="P228" i="3"/>
  <c r="Q228" i="3"/>
  <c r="R228" i="3"/>
  <c r="S228" i="3"/>
  <c r="T228" i="3"/>
  <c r="U228" i="3"/>
  <c r="V228" i="3"/>
  <c r="W228" i="3"/>
  <c r="X228" i="3"/>
  <c r="O229" i="3"/>
  <c r="P229" i="3"/>
  <c r="Q229" i="3"/>
  <c r="R229" i="3"/>
  <c r="S229" i="3"/>
  <c r="T229" i="3"/>
  <c r="U229" i="3"/>
  <c r="V229" i="3"/>
  <c r="W229" i="3"/>
  <c r="X229" i="3"/>
  <c r="O230" i="3"/>
  <c r="P230" i="3"/>
  <c r="Q230" i="3"/>
  <c r="R230" i="3"/>
  <c r="S230" i="3"/>
  <c r="T230" i="3"/>
  <c r="U230" i="3"/>
  <c r="V230" i="3"/>
  <c r="W230" i="3"/>
  <c r="X230" i="3"/>
  <c r="O231" i="3"/>
  <c r="P231" i="3"/>
  <c r="Q231" i="3"/>
  <c r="R231" i="3"/>
  <c r="S231" i="3"/>
  <c r="T231" i="3"/>
  <c r="U231" i="3"/>
  <c r="V231" i="3"/>
  <c r="W231" i="3"/>
  <c r="X231" i="3"/>
  <c r="O232" i="3"/>
  <c r="P232" i="3"/>
  <c r="Q232" i="3"/>
  <c r="R232" i="3"/>
  <c r="S232" i="3"/>
  <c r="T232" i="3"/>
  <c r="U232" i="3"/>
  <c r="V232" i="3"/>
  <c r="W232" i="3"/>
  <c r="X232" i="3"/>
  <c r="O233" i="3"/>
  <c r="P233" i="3"/>
  <c r="Q233" i="3"/>
  <c r="R233" i="3"/>
  <c r="S233" i="3"/>
  <c r="T233" i="3"/>
  <c r="U233" i="3"/>
  <c r="V233" i="3"/>
  <c r="W233" i="3"/>
  <c r="X233" i="3"/>
  <c r="O234" i="3"/>
  <c r="P234" i="3"/>
  <c r="Q234" i="3"/>
  <c r="R234" i="3"/>
  <c r="S234" i="3"/>
  <c r="T234" i="3"/>
  <c r="U234" i="3"/>
  <c r="V234" i="3"/>
  <c r="W234" i="3"/>
  <c r="X234" i="3"/>
  <c r="O235" i="3"/>
  <c r="P235" i="3"/>
  <c r="Q235" i="3"/>
  <c r="R235" i="3"/>
  <c r="S235" i="3"/>
  <c r="T235" i="3"/>
  <c r="U235" i="3"/>
  <c r="V235" i="3"/>
  <c r="W235" i="3"/>
  <c r="X235" i="3"/>
  <c r="O236" i="3"/>
  <c r="P236" i="3"/>
  <c r="Q236" i="3"/>
  <c r="R236" i="3"/>
  <c r="S236" i="3"/>
  <c r="T236" i="3"/>
  <c r="U236" i="3"/>
  <c r="V236" i="3"/>
  <c r="W236" i="3"/>
  <c r="X236" i="3"/>
  <c r="O237" i="3"/>
  <c r="P237" i="3"/>
  <c r="Q237" i="3"/>
  <c r="R237" i="3"/>
  <c r="S237" i="3"/>
  <c r="T237" i="3"/>
  <c r="U237" i="3"/>
  <c r="V237" i="3"/>
  <c r="W237" i="3"/>
  <c r="X237" i="3"/>
  <c r="O238" i="3"/>
  <c r="P238" i="3"/>
  <c r="Q238" i="3"/>
  <c r="R238" i="3"/>
  <c r="S238" i="3"/>
  <c r="T238" i="3"/>
  <c r="U238" i="3"/>
  <c r="V238" i="3"/>
  <c r="W238" i="3"/>
  <c r="X238" i="3"/>
  <c r="O239" i="3"/>
  <c r="P239" i="3"/>
  <c r="Q239" i="3"/>
  <c r="R239" i="3"/>
  <c r="S239" i="3"/>
  <c r="T239" i="3"/>
  <c r="U239" i="3"/>
  <c r="V239" i="3"/>
  <c r="W239" i="3"/>
  <c r="X239" i="3"/>
  <c r="O240" i="3"/>
  <c r="P240" i="3"/>
  <c r="Q240" i="3"/>
  <c r="R240" i="3"/>
  <c r="S240" i="3"/>
  <c r="T240" i="3"/>
  <c r="U240" i="3"/>
  <c r="V240" i="3"/>
  <c r="W240" i="3"/>
  <c r="X240" i="3"/>
  <c r="O241" i="3"/>
  <c r="P241" i="3"/>
  <c r="Q241" i="3"/>
  <c r="R241" i="3"/>
  <c r="S241" i="3"/>
  <c r="T241" i="3"/>
  <c r="U241" i="3"/>
  <c r="V241" i="3"/>
  <c r="W241" i="3"/>
  <c r="X241" i="3"/>
  <c r="O242" i="3"/>
  <c r="P242" i="3"/>
  <c r="Q242" i="3"/>
  <c r="R242" i="3"/>
  <c r="S242" i="3"/>
  <c r="T242" i="3"/>
  <c r="U242" i="3"/>
  <c r="V242" i="3"/>
  <c r="W242" i="3"/>
  <c r="X242" i="3"/>
  <c r="O243" i="3"/>
  <c r="P243" i="3"/>
  <c r="Q243" i="3"/>
  <c r="R243" i="3"/>
  <c r="S243" i="3"/>
  <c r="T243" i="3"/>
  <c r="U243" i="3"/>
  <c r="V243" i="3"/>
  <c r="W243" i="3"/>
  <c r="X243" i="3"/>
  <c r="O244" i="3"/>
  <c r="P244" i="3"/>
  <c r="Q244" i="3"/>
  <c r="R244" i="3"/>
  <c r="S244" i="3"/>
  <c r="T244" i="3"/>
  <c r="U244" i="3"/>
  <c r="V244" i="3"/>
  <c r="W244" i="3"/>
  <c r="X244" i="3"/>
  <c r="O245" i="3"/>
  <c r="P245" i="3"/>
  <c r="Q245" i="3"/>
  <c r="R245" i="3"/>
  <c r="S245" i="3"/>
  <c r="T245" i="3"/>
  <c r="U245" i="3"/>
  <c r="V245" i="3"/>
  <c r="W245" i="3"/>
  <c r="X245" i="3"/>
  <c r="O246" i="3"/>
  <c r="P246" i="3"/>
  <c r="Q246" i="3"/>
  <c r="R246" i="3"/>
  <c r="S246" i="3"/>
  <c r="T246" i="3"/>
  <c r="U246" i="3"/>
  <c r="V246" i="3"/>
  <c r="W246" i="3"/>
  <c r="X246" i="3"/>
  <c r="O247" i="3"/>
  <c r="P247" i="3"/>
  <c r="Q247" i="3"/>
  <c r="R247" i="3"/>
  <c r="S247" i="3"/>
  <c r="T247" i="3"/>
  <c r="U247" i="3"/>
  <c r="V247" i="3"/>
  <c r="W247" i="3"/>
  <c r="X247" i="3"/>
  <c r="O248" i="3"/>
  <c r="P248" i="3"/>
  <c r="Q248" i="3"/>
  <c r="R248" i="3"/>
  <c r="S248" i="3"/>
  <c r="T248" i="3"/>
  <c r="U248" i="3"/>
  <c r="V248" i="3"/>
  <c r="W248" i="3"/>
  <c r="X248" i="3"/>
  <c r="O249" i="3"/>
  <c r="P249" i="3"/>
  <c r="Q249" i="3"/>
  <c r="R249" i="3"/>
  <c r="S249" i="3"/>
  <c r="T249" i="3"/>
  <c r="U249" i="3"/>
  <c r="V249" i="3"/>
  <c r="W249" i="3"/>
  <c r="X249" i="3"/>
  <c r="O250" i="3"/>
  <c r="P250" i="3"/>
  <c r="Q250" i="3"/>
  <c r="R250" i="3"/>
  <c r="S250" i="3"/>
  <c r="T250" i="3"/>
  <c r="U250" i="3"/>
  <c r="V250" i="3"/>
  <c r="W250" i="3"/>
  <c r="X250" i="3"/>
  <c r="O251" i="3"/>
  <c r="P251" i="3"/>
  <c r="Q251" i="3"/>
  <c r="R251" i="3"/>
  <c r="S251" i="3"/>
  <c r="T251" i="3"/>
  <c r="U251" i="3"/>
  <c r="V251" i="3"/>
  <c r="W251" i="3"/>
  <c r="X251" i="3"/>
  <c r="O252" i="3"/>
  <c r="P252" i="3"/>
  <c r="Q252" i="3"/>
  <c r="R252" i="3"/>
  <c r="S252" i="3"/>
  <c r="T252" i="3"/>
  <c r="U252" i="3"/>
  <c r="V252" i="3"/>
  <c r="W252" i="3"/>
  <c r="X252" i="3"/>
  <c r="O253" i="3"/>
  <c r="P253" i="3"/>
  <c r="Q253" i="3"/>
  <c r="R253" i="3"/>
  <c r="S253" i="3"/>
  <c r="T253" i="3"/>
  <c r="U253" i="3"/>
  <c r="V253" i="3"/>
  <c r="W253" i="3"/>
  <c r="X253" i="3"/>
  <c r="AB214" i="5"/>
  <c r="AB215" i="5"/>
  <c r="AB216" i="5"/>
  <c r="AB217" i="5"/>
  <c r="AB218" i="5"/>
  <c r="AB219" i="5"/>
  <c r="AB220" i="5"/>
  <c r="AB221" i="5"/>
  <c r="AB222" i="5"/>
  <c r="AB223" i="5"/>
  <c r="AB224" i="5"/>
  <c r="AB225" i="5"/>
  <c r="AB226" i="5"/>
  <c r="AB227" i="5"/>
  <c r="AB228" i="5"/>
  <c r="AB229" i="5"/>
  <c r="AB230" i="5"/>
  <c r="AB231" i="5"/>
  <c r="AB232" i="5"/>
  <c r="AB233" i="5"/>
  <c r="AB234" i="5"/>
  <c r="AB235" i="5"/>
  <c r="AB236" i="5"/>
  <c r="AB237" i="5"/>
  <c r="AB238" i="5"/>
  <c r="AB239" i="5"/>
  <c r="AB240" i="5"/>
  <c r="AB241" i="5"/>
  <c r="AB242" i="5"/>
  <c r="AB243" i="5"/>
  <c r="AB244" i="5"/>
  <c r="AB245" i="5"/>
  <c r="AB246" i="5"/>
  <c r="AB247" i="5"/>
  <c r="AB248" i="5"/>
  <c r="AB249" i="5"/>
  <c r="AB250" i="5"/>
  <c r="AB251" i="5"/>
  <c r="AB252" i="5"/>
  <c r="AB253" i="5"/>
  <c r="O253" i="5"/>
  <c r="P253" i="5"/>
  <c r="Q253" i="5"/>
  <c r="R253" i="5"/>
  <c r="S253" i="5"/>
  <c r="T253" i="5"/>
  <c r="U253" i="5"/>
  <c r="V253" i="5"/>
  <c r="W253" i="5"/>
  <c r="X253" i="5"/>
  <c r="O214" i="5"/>
  <c r="P214" i="5"/>
  <c r="Q214" i="5"/>
  <c r="R214" i="5"/>
  <c r="S214" i="5"/>
  <c r="T214" i="5"/>
  <c r="U214" i="5"/>
  <c r="V214" i="5"/>
  <c r="W214" i="5"/>
  <c r="X214" i="5"/>
  <c r="O215" i="5"/>
  <c r="P215" i="5"/>
  <c r="Q215" i="5"/>
  <c r="R215" i="5"/>
  <c r="S215" i="5"/>
  <c r="T215" i="5"/>
  <c r="U215" i="5"/>
  <c r="AC215" i="5" s="1"/>
  <c r="V215" i="5"/>
  <c r="W215" i="5"/>
  <c r="X215" i="5"/>
  <c r="O216" i="5"/>
  <c r="P216" i="5"/>
  <c r="Q216" i="5"/>
  <c r="R216" i="5"/>
  <c r="S216" i="5"/>
  <c r="T216" i="5"/>
  <c r="U216" i="5"/>
  <c r="V216" i="5"/>
  <c r="W216" i="5"/>
  <c r="X216" i="5"/>
  <c r="O217" i="5"/>
  <c r="P217" i="5"/>
  <c r="Q217" i="5"/>
  <c r="R217" i="5"/>
  <c r="S217" i="5"/>
  <c r="T217" i="5"/>
  <c r="U217" i="5"/>
  <c r="V217" i="5"/>
  <c r="W217" i="5"/>
  <c r="X217" i="5"/>
  <c r="AC217" i="5" s="1"/>
  <c r="O218" i="5"/>
  <c r="P218" i="5"/>
  <c r="Q218" i="5"/>
  <c r="R218" i="5"/>
  <c r="S218" i="5"/>
  <c r="T218" i="5"/>
  <c r="U218" i="5"/>
  <c r="V218" i="5"/>
  <c r="W218" i="5"/>
  <c r="X218" i="5"/>
  <c r="O219" i="5"/>
  <c r="P219" i="5"/>
  <c r="Q219" i="5"/>
  <c r="R219" i="5"/>
  <c r="S219" i="5"/>
  <c r="T219" i="5"/>
  <c r="U219" i="5"/>
  <c r="AC219" i="5" s="1"/>
  <c r="V219" i="5"/>
  <c r="W219" i="5"/>
  <c r="X219" i="5"/>
  <c r="O220" i="5"/>
  <c r="P220" i="5"/>
  <c r="Q220" i="5"/>
  <c r="R220" i="5"/>
  <c r="S220" i="5"/>
  <c r="T220" i="5"/>
  <c r="U220" i="5"/>
  <c r="AC220" i="5" s="1"/>
  <c r="V220" i="5"/>
  <c r="W220" i="5"/>
  <c r="X220" i="5"/>
  <c r="O221" i="5"/>
  <c r="P221" i="5"/>
  <c r="Q221" i="5"/>
  <c r="R221" i="5"/>
  <c r="S221" i="5"/>
  <c r="T221" i="5"/>
  <c r="U221" i="5"/>
  <c r="AD221" i="5" s="1"/>
  <c r="V221" i="5"/>
  <c r="W221" i="5"/>
  <c r="X221" i="5"/>
  <c r="O222" i="5"/>
  <c r="P222" i="5"/>
  <c r="Q222" i="5"/>
  <c r="R222" i="5"/>
  <c r="S222" i="5"/>
  <c r="T222" i="5"/>
  <c r="U222" i="5"/>
  <c r="AC222" i="5" s="1"/>
  <c r="V222" i="5"/>
  <c r="W222" i="5"/>
  <c r="X222" i="5"/>
  <c r="O223" i="5"/>
  <c r="P223" i="5"/>
  <c r="Q223" i="5"/>
  <c r="R223" i="5"/>
  <c r="S223" i="5"/>
  <c r="T223" i="5"/>
  <c r="U223" i="5"/>
  <c r="AC223" i="5" s="1"/>
  <c r="V223" i="5"/>
  <c r="W223" i="5"/>
  <c r="X223" i="5"/>
  <c r="O224" i="5"/>
  <c r="P224" i="5"/>
  <c r="Q224" i="5"/>
  <c r="R224" i="5"/>
  <c r="S224" i="5"/>
  <c r="T224" i="5"/>
  <c r="U224" i="5"/>
  <c r="V224" i="5"/>
  <c r="W224" i="5"/>
  <c r="X224" i="5"/>
  <c r="O225" i="5"/>
  <c r="P225" i="5"/>
  <c r="Q225" i="5"/>
  <c r="R225" i="5"/>
  <c r="S225" i="5"/>
  <c r="T225" i="5"/>
  <c r="U225" i="5"/>
  <c r="AC225" i="5" s="1"/>
  <c r="V225" i="5"/>
  <c r="W225" i="5"/>
  <c r="X225" i="5"/>
  <c r="O226" i="5"/>
  <c r="P226" i="5"/>
  <c r="Q226" i="5"/>
  <c r="R226" i="5"/>
  <c r="S226" i="5"/>
  <c r="T226" i="5"/>
  <c r="U226" i="5"/>
  <c r="AC226" i="5" s="1"/>
  <c r="V226" i="5"/>
  <c r="W226" i="5"/>
  <c r="X226" i="5"/>
  <c r="O227" i="5"/>
  <c r="P227" i="5"/>
  <c r="Q227" i="5"/>
  <c r="R227" i="5"/>
  <c r="S227" i="5"/>
  <c r="T227" i="5"/>
  <c r="U227" i="5"/>
  <c r="V227" i="5"/>
  <c r="W227" i="5"/>
  <c r="X227" i="5"/>
  <c r="AD227" i="5" s="1"/>
  <c r="O228" i="5"/>
  <c r="P228" i="5"/>
  <c r="Q228" i="5"/>
  <c r="R228" i="5"/>
  <c r="S228" i="5"/>
  <c r="T228" i="5"/>
  <c r="U228" i="5"/>
  <c r="AC228" i="5" s="1"/>
  <c r="V228" i="5"/>
  <c r="W228" i="5"/>
  <c r="X228" i="5"/>
  <c r="O229" i="5"/>
  <c r="P229" i="5"/>
  <c r="Q229" i="5"/>
  <c r="R229" i="5"/>
  <c r="S229" i="5"/>
  <c r="T229" i="5"/>
  <c r="U229" i="5"/>
  <c r="AC229" i="5" s="1"/>
  <c r="V229" i="5"/>
  <c r="W229" i="5"/>
  <c r="X229" i="5"/>
  <c r="O230" i="5"/>
  <c r="P230" i="5"/>
  <c r="Q230" i="5"/>
  <c r="R230" i="5"/>
  <c r="S230" i="5"/>
  <c r="T230" i="5"/>
  <c r="U230" i="5"/>
  <c r="AC230" i="5" s="1"/>
  <c r="V230" i="5"/>
  <c r="AD230" i="5" s="1"/>
  <c r="W230" i="5"/>
  <c r="X230" i="5"/>
  <c r="O231" i="5"/>
  <c r="P231" i="5"/>
  <c r="Q231" i="5"/>
  <c r="R231" i="5"/>
  <c r="S231" i="5"/>
  <c r="T231" i="5"/>
  <c r="U231" i="5"/>
  <c r="AD231" i="5" s="1"/>
  <c r="V231" i="5"/>
  <c r="W231" i="5"/>
  <c r="X231" i="5"/>
  <c r="O232" i="5"/>
  <c r="P232" i="5"/>
  <c r="Q232" i="5"/>
  <c r="R232" i="5"/>
  <c r="S232" i="5"/>
  <c r="T232" i="5"/>
  <c r="U232" i="5"/>
  <c r="AC232" i="5" s="1"/>
  <c r="V232" i="5"/>
  <c r="W232" i="5"/>
  <c r="X232" i="5"/>
  <c r="O233" i="5"/>
  <c r="P233" i="5"/>
  <c r="Q233" i="5"/>
  <c r="R233" i="5"/>
  <c r="S233" i="5"/>
  <c r="T233" i="5"/>
  <c r="U233" i="5"/>
  <c r="AC233" i="5" s="1"/>
  <c r="V233" i="5"/>
  <c r="W233" i="5"/>
  <c r="X233" i="5"/>
  <c r="O234" i="5"/>
  <c r="P234" i="5"/>
  <c r="Q234" i="5"/>
  <c r="R234" i="5"/>
  <c r="S234" i="5"/>
  <c r="T234" i="5"/>
  <c r="U234" i="5"/>
  <c r="AD234" i="5" s="1"/>
  <c r="V234" i="5"/>
  <c r="W234" i="5"/>
  <c r="X234" i="5"/>
  <c r="O235" i="5"/>
  <c r="P235" i="5"/>
  <c r="Q235" i="5"/>
  <c r="R235" i="5"/>
  <c r="S235" i="5"/>
  <c r="T235" i="5"/>
  <c r="U235" i="5"/>
  <c r="V235" i="5"/>
  <c r="W235" i="5"/>
  <c r="X235" i="5"/>
  <c r="O236" i="5"/>
  <c r="P236" i="5"/>
  <c r="Q236" i="5"/>
  <c r="R236" i="5"/>
  <c r="S236" i="5"/>
  <c r="T236" i="5"/>
  <c r="U236" i="5"/>
  <c r="V236" i="5"/>
  <c r="W236" i="5"/>
  <c r="X236" i="5"/>
  <c r="O237" i="5"/>
  <c r="P237" i="5"/>
  <c r="Q237" i="5"/>
  <c r="R237" i="5"/>
  <c r="S237" i="5"/>
  <c r="T237" i="5"/>
  <c r="U237" i="5"/>
  <c r="AC237" i="5" s="1"/>
  <c r="V237" i="5"/>
  <c r="W237" i="5"/>
  <c r="X237" i="5"/>
  <c r="O238" i="5"/>
  <c r="P238" i="5"/>
  <c r="Q238" i="5"/>
  <c r="R238" i="5"/>
  <c r="S238" i="5"/>
  <c r="T238" i="5"/>
  <c r="U238" i="5"/>
  <c r="AC238" i="5" s="1"/>
  <c r="V238" i="5"/>
  <c r="W238" i="5"/>
  <c r="X238" i="5"/>
  <c r="O239" i="5"/>
  <c r="P239" i="5"/>
  <c r="Q239" i="5"/>
  <c r="R239" i="5"/>
  <c r="S239" i="5"/>
  <c r="T239" i="5"/>
  <c r="U239" i="5"/>
  <c r="AD239" i="5" s="1"/>
  <c r="V239" i="5"/>
  <c r="W239" i="5"/>
  <c r="X239" i="5"/>
  <c r="O240" i="5"/>
  <c r="P240" i="5"/>
  <c r="Q240" i="5"/>
  <c r="R240" i="5"/>
  <c r="S240" i="5"/>
  <c r="T240" i="5"/>
  <c r="U240" i="5"/>
  <c r="AC240" i="5" s="1"/>
  <c r="V240" i="5"/>
  <c r="W240" i="5"/>
  <c r="X240" i="5"/>
  <c r="O241" i="5"/>
  <c r="P241" i="5"/>
  <c r="Q241" i="5"/>
  <c r="R241" i="5"/>
  <c r="S241" i="5"/>
  <c r="T241" i="5"/>
  <c r="U241" i="5"/>
  <c r="AC241" i="5" s="1"/>
  <c r="V241" i="5"/>
  <c r="W241" i="5"/>
  <c r="X241" i="5"/>
  <c r="O242" i="5"/>
  <c r="P242" i="5"/>
  <c r="Q242" i="5"/>
  <c r="R242" i="5"/>
  <c r="S242" i="5"/>
  <c r="T242" i="5"/>
  <c r="U242" i="5"/>
  <c r="V242" i="5"/>
  <c r="W242" i="5"/>
  <c r="AC242" i="5" s="1"/>
  <c r="X242" i="5"/>
  <c r="O243" i="5"/>
  <c r="P243" i="5"/>
  <c r="Q243" i="5"/>
  <c r="R243" i="5"/>
  <c r="S243" i="5"/>
  <c r="T243" i="5"/>
  <c r="U243" i="5"/>
  <c r="AC243" i="5" s="1"/>
  <c r="V243" i="5"/>
  <c r="W243" i="5"/>
  <c r="X243" i="5"/>
  <c r="O244" i="5"/>
  <c r="P244" i="5"/>
  <c r="Q244" i="5"/>
  <c r="R244" i="5"/>
  <c r="S244" i="5"/>
  <c r="T244" i="5"/>
  <c r="U244" i="5"/>
  <c r="V244" i="5"/>
  <c r="W244" i="5"/>
  <c r="X244" i="5"/>
  <c r="O245" i="5"/>
  <c r="P245" i="5"/>
  <c r="Q245" i="5"/>
  <c r="R245" i="5"/>
  <c r="S245" i="5"/>
  <c r="T245" i="5"/>
  <c r="U245" i="5"/>
  <c r="V245" i="5"/>
  <c r="W245" i="5"/>
  <c r="X245" i="5"/>
  <c r="O246" i="5"/>
  <c r="P246" i="5"/>
  <c r="Q246" i="5"/>
  <c r="R246" i="5"/>
  <c r="S246" i="5"/>
  <c r="T246" i="5"/>
  <c r="U246" i="5"/>
  <c r="AC246" i="5" s="1"/>
  <c r="V246" i="5"/>
  <c r="W246" i="5"/>
  <c r="X246" i="5"/>
  <c r="O247" i="5"/>
  <c r="P247" i="5"/>
  <c r="Q247" i="5"/>
  <c r="R247" i="5"/>
  <c r="S247" i="5"/>
  <c r="T247" i="5"/>
  <c r="U247" i="5"/>
  <c r="AC247" i="5" s="1"/>
  <c r="V247" i="5"/>
  <c r="W247" i="5"/>
  <c r="X247" i="5"/>
  <c r="O248" i="5"/>
  <c r="P248" i="5"/>
  <c r="Q248" i="5"/>
  <c r="R248" i="5"/>
  <c r="S248" i="5"/>
  <c r="T248" i="5"/>
  <c r="U248" i="5"/>
  <c r="AC248" i="5" s="1"/>
  <c r="V248" i="5"/>
  <c r="W248" i="5"/>
  <c r="X248" i="5"/>
  <c r="O249" i="5"/>
  <c r="P249" i="5"/>
  <c r="Q249" i="5"/>
  <c r="R249" i="5"/>
  <c r="S249" i="5"/>
  <c r="T249" i="5"/>
  <c r="U249" i="5"/>
  <c r="AC249" i="5" s="1"/>
  <c r="V249" i="5"/>
  <c r="W249" i="5"/>
  <c r="X249" i="5"/>
  <c r="O250" i="5"/>
  <c r="P250" i="5"/>
  <c r="Q250" i="5"/>
  <c r="R250" i="5"/>
  <c r="S250" i="5"/>
  <c r="T250" i="5"/>
  <c r="U250" i="5"/>
  <c r="AC250" i="5" s="1"/>
  <c r="V250" i="5"/>
  <c r="W250" i="5"/>
  <c r="X250" i="5"/>
  <c r="O251" i="5"/>
  <c r="P251" i="5"/>
  <c r="Q251" i="5"/>
  <c r="R251" i="5"/>
  <c r="S251" i="5"/>
  <c r="T251" i="5"/>
  <c r="U251" i="5"/>
  <c r="AD251" i="5" s="1"/>
  <c r="V251" i="5"/>
  <c r="W251" i="5"/>
  <c r="X251" i="5"/>
  <c r="O252" i="5"/>
  <c r="P252" i="5"/>
  <c r="Q252" i="5"/>
  <c r="R252" i="5"/>
  <c r="S252" i="5"/>
  <c r="T252" i="5"/>
  <c r="U252" i="5"/>
  <c r="AC252" i="5" s="1"/>
  <c r="V252" i="5"/>
  <c r="W252" i="5"/>
  <c r="X252" i="5"/>
  <c r="AD235" i="5" l="1"/>
  <c r="AD214" i="5"/>
  <c r="AC251" i="5"/>
  <c r="AD241" i="5"/>
  <c r="AD238" i="5"/>
  <c r="AC231" i="5"/>
  <c r="AC221" i="5"/>
  <c r="AD246" i="5"/>
  <c r="AD223" i="5"/>
  <c r="AC245" i="5"/>
  <c r="AC218" i="5"/>
  <c r="AD226" i="5"/>
  <c r="AD220" i="5"/>
  <c r="AD250" i="5"/>
  <c r="AD240" i="5"/>
  <c r="AD237" i="5"/>
  <c r="AD215" i="5"/>
  <c r="AC244" i="5"/>
  <c r="AC236" i="5"/>
  <c r="AD233" i="5"/>
  <c r="AC216" i="5"/>
  <c r="AD252" i="5"/>
  <c r="AD232" i="5"/>
  <c r="AD229" i="5"/>
  <c r="AD222" i="5"/>
  <c r="AC239" i="5"/>
  <c r="AD225" i="5"/>
  <c r="AD219" i="5"/>
  <c r="AC224" i="5"/>
  <c r="AD247" i="5"/>
  <c r="AC234" i="5"/>
  <c r="AD228" i="5"/>
  <c r="AC253" i="5"/>
  <c r="AD253" i="5"/>
  <c r="AD248" i="5"/>
  <c r="AD249" i="5"/>
  <c r="AD244" i="5"/>
  <c r="AD245" i="5"/>
  <c r="AD242" i="5"/>
  <c r="AD243" i="5"/>
  <c r="AD236" i="5"/>
  <c r="AC235" i="5"/>
  <c r="AC227" i="5"/>
  <c r="AD224" i="5"/>
  <c r="AD218" i="5"/>
  <c r="AD216" i="5"/>
  <c r="AD217" i="5"/>
  <c r="AC214" i="5"/>
  <c r="AA214" i="3"/>
  <c r="O203" i="3"/>
  <c r="P203" i="3"/>
  <c r="Q203" i="3"/>
  <c r="R203" i="3"/>
  <c r="S203" i="3"/>
  <c r="T203" i="3"/>
  <c r="U203" i="3"/>
  <c r="V203" i="3"/>
  <c r="W203" i="3"/>
  <c r="X203" i="3"/>
  <c r="O204" i="3"/>
  <c r="P204" i="3"/>
  <c r="Q204" i="3"/>
  <c r="R204" i="3"/>
  <c r="S204" i="3"/>
  <c r="T204" i="3"/>
  <c r="U204" i="3"/>
  <c r="V204" i="3"/>
  <c r="W204" i="3"/>
  <c r="X204" i="3"/>
  <c r="O205" i="3"/>
  <c r="P205" i="3"/>
  <c r="Q205" i="3"/>
  <c r="R205" i="3"/>
  <c r="S205" i="3"/>
  <c r="T205" i="3"/>
  <c r="U205" i="3"/>
  <c r="V205" i="3"/>
  <c r="W205" i="3"/>
  <c r="X205" i="3"/>
  <c r="O206" i="3"/>
  <c r="P206" i="3"/>
  <c r="Q206" i="3"/>
  <c r="R206" i="3"/>
  <c r="S206" i="3"/>
  <c r="T206" i="3"/>
  <c r="U206" i="3"/>
  <c r="V206" i="3"/>
  <c r="W206" i="3"/>
  <c r="X206" i="3"/>
  <c r="O207" i="3"/>
  <c r="P207" i="3"/>
  <c r="Q207" i="3"/>
  <c r="R207" i="3"/>
  <c r="S207" i="3"/>
  <c r="T207" i="3"/>
  <c r="U207" i="3"/>
  <c r="V207" i="3"/>
  <c r="W207" i="3"/>
  <c r="X207" i="3"/>
  <c r="O208" i="3"/>
  <c r="P208" i="3"/>
  <c r="Q208" i="3"/>
  <c r="R208" i="3"/>
  <c r="S208" i="3"/>
  <c r="T208" i="3"/>
  <c r="U208" i="3"/>
  <c r="V208" i="3"/>
  <c r="W208" i="3"/>
  <c r="X208" i="3"/>
  <c r="O209" i="3"/>
  <c r="P209" i="3"/>
  <c r="Q209" i="3"/>
  <c r="R209" i="3"/>
  <c r="S209" i="3"/>
  <c r="T209" i="3"/>
  <c r="U209" i="3"/>
  <c r="V209" i="3"/>
  <c r="W209" i="3"/>
  <c r="X209" i="3"/>
  <c r="O210" i="3"/>
  <c r="P210" i="3"/>
  <c r="Q210" i="3"/>
  <c r="R210" i="3"/>
  <c r="S210" i="3"/>
  <c r="T210" i="3"/>
  <c r="U210" i="3"/>
  <c r="V210" i="3"/>
  <c r="W210" i="3"/>
  <c r="X210" i="3"/>
  <c r="O211" i="3"/>
  <c r="P211" i="3"/>
  <c r="Q211" i="3"/>
  <c r="R211" i="3"/>
  <c r="S211" i="3"/>
  <c r="T211" i="3"/>
  <c r="U211" i="3"/>
  <c r="V211" i="3"/>
  <c r="W211" i="3"/>
  <c r="X211" i="3"/>
  <c r="O212" i="3"/>
  <c r="P212" i="3"/>
  <c r="Q212" i="3"/>
  <c r="R212" i="3"/>
  <c r="S212" i="3"/>
  <c r="T212" i="3"/>
  <c r="U212" i="3"/>
  <c r="V212" i="3"/>
  <c r="W212" i="3"/>
  <c r="X212" i="3"/>
  <c r="O213" i="3"/>
  <c r="P213" i="3"/>
  <c r="Q213" i="3"/>
  <c r="R213" i="3"/>
  <c r="S213" i="3"/>
  <c r="T213" i="3"/>
  <c r="U213" i="3"/>
  <c r="V213" i="3"/>
  <c r="W213" i="3"/>
  <c r="X213" i="3"/>
  <c r="O203" i="5"/>
  <c r="P203" i="5"/>
  <c r="Q203" i="5"/>
  <c r="R203" i="5"/>
  <c r="S203" i="5"/>
  <c r="T203" i="5"/>
  <c r="U203" i="5"/>
  <c r="V203" i="5"/>
  <c r="W203" i="5"/>
  <c r="X203" i="5"/>
  <c r="O204" i="5"/>
  <c r="P204" i="5"/>
  <c r="Q204" i="5"/>
  <c r="R204" i="5"/>
  <c r="S204" i="5"/>
  <c r="T204" i="5"/>
  <c r="U204" i="5"/>
  <c r="V204" i="5"/>
  <c r="W204" i="5"/>
  <c r="X204" i="5"/>
  <c r="O205" i="5"/>
  <c r="P205" i="5"/>
  <c r="Q205" i="5"/>
  <c r="R205" i="5"/>
  <c r="S205" i="5"/>
  <c r="T205" i="5"/>
  <c r="U205" i="5"/>
  <c r="V205" i="5"/>
  <c r="W205" i="5"/>
  <c r="X205" i="5"/>
  <c r="O206" i="5"/>
  <c r="P206" i="5"/>
  <c r="Q206" i="5"/>
  <c r="R206" i="5"/>
  <c r="S206" i="5"/>
  <c r="T206" i="5"/>
  <c r="U206" i="5"/>
  <c r="V206" i="5"/>
  <c r="AC206" i="5" s="1"/>
  <c r="W206" i="5"/>
  <c r="X206" i="5"/>
  <c r="O207" i="5"/>
  <c r="P207" i="5"/>
  <c r="Q207" i="5"/>
  <c r="R207" i="5"/>
  <c r="S207" i="5"/>
  <c r="T207" i="5"/>
  <c r="U207" i="5"/>
  <c r="V207" i="5"/>
  <c r="W207" i="5"/>
  <c r="X207" i="5"/>
  <c r="O208" i="5"/>
  <c r="P208" i="5"/>
  <c r="Q208" i="5"/>
  <c r="R208" i="5"/>
  <c r="S208" i="5"/>
  <c r="T208" i="5"/>
  <c r="U208" i="5"/>
  <c r="AC208" i="5" s="1"/>
  <c r="V208" i="5"/>
  <c r="W208" i="5"/>
  <c r="X208" i="5"/>
  <c r="O209" i="5"/>
  <c r="P209" i="5"/>
  <c r="Q209" i="5"/>
  <c r="R209" i="5"/>
  <c r="S209" i="5"/>
  <c r="T209" i="5"/>
  <c r="U209" i="5"/>
  <c r="V209" i="5"/>
  <c r="W209" i="5"/>
  <c r="X209" i="5"/>
  <c r="O210" i="5"/>
  <c r="P210" i="5"/>
  <c r="Q210" i="5"/>
  <c r="R210" i="5"/>
  <c r="S210" i="5"/>
  <c r="T210" i="5"/>
  <c r="U210" i="5"/>
  <c r="V210" i="5"/>
  <c r="W210" i="5"/>
  <c r="X210" i="5"/>
  <c r="O211" i="5"/>
  <c r="P211" i="5"/>
  <c r="Q211" i="5"/>
  <c r="R211" i="5"/>
  <c r="S211" i="5"/>
  <c r="T211" i="5"/>
  <c r="U211" i="5"/>
  <c r="V211" i="5"/>
  <c r="W211" i="5"/>
  <c r="X211" i="5"/>
  <c r="O212" i="5"/>
  <c r="P212" i="5"/>
  <c r="Q212" i="5"/>
  <c r="R212" i="5"/>
  <c r="S212" i="5"/>
  <c r="T212" i="5"/>
  <c r="U212" i="5"/>
  <c r="AC212" i="5" s="1"/>
  <c r="V212" i="5"/>
  <c r="W212" i="5"/>
  <c r="X212" i="5"/>
  <c r="O213" i="5"/>
  <c r="P213" i="5"/>
  <c r="Q213" i="5"/>
  <c r="R213" i="5"/>
  <c r="S213" i="5"/>
  <c r="T213" i="5"/>
  <c r="U213" i="5"/>
  <c r="V213" i="5"/>
  <c r="W213" i="5"/>
  <c r="X213" i="5"/>
  <c r="AC211" i="5" l="1"/>
  <c r="AC207" i="5"/>
  <c r="AC203" i="5"/>
  <c r="AD213" i="5"/>
  <c r="AD210" i="5"/>
  <c r="AD206" i="5"/>
  <c r="AC213" i="5"/>
  <c r="AC209" i="5"/>
  <c r="AC205" i="5"/>
  <c r="AC204" i="5"/>
  <c r="AC210" i="5"/>
  <c r="AD209" i="5"/>
  <c r="AD205" i="5"/>
  <c r="AD212" i="5"/>
  <c r="AD208" i="5"/>
  <c r="AD204" i="5"/>
  <c r="AD211" i="5"/>
  <c r="AD207" i="5"/>
  <c r="AD203" i="5"/>
  <c r="AB203" i="5" l="1"/>
  <c r="AB204" i="5"/>
  <c r="AB205" i="5"/>
  <c r="AB206" i="5"/>
  <c r="AB207" i="5"/>
  <c r="AB208" i="5"/>
  <c r="AB209" i="5"/>
  <c r="AB210" i="5"/>
  <c r="AB211" i="5"/>
  <c r="AB212" i="5"/>
  <c r="AB213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O176" i="5"/>
  <c r="P176" i="5"/>
  <c r="Q176" i="5"/>
  <c r="R176" i="5"/>
  <c r="S176" i="5"/>
  <c r="T176" i="5"/>
  <c r="U176" i="5"/>
  <c r="V176" i="5"/>
  <c r="W176" i="5"/>
  <c r="X176" i="5"/>
  <c r="O177" i="5"/>
  <c r="P177" i="5"/>
  <c r="Q177" i="5"/>
  <c r="R177" i="5"/>
  <c r="S177" i="5"/>
  <c r="T177" i="5"/>
  <c r="U177" i="5"/>
  <c r="V177" i="5"/>
  <c r="W177" i="5"/>
  <c r="X177" i="5"/>
  <c r="O178" i="5"/>
  <c r="P178" i="5"/>
  <c r="Q178" i="5"/>
  <c r="R178" i="5"/>
  <c r="S178" i="5"/>
  <c r="T178" i="5"/>
  <c r="U178" i="5"/>
  <c r="V178" i="5"/>
  <c r="W178" i="5"/>
  <c r="X178" i="5"/>
  <c r="O179" i="5"/>
  <c r="P179" i="5"/>
  <c r="Q179" i="5"/>
  <c r="R179" i="5"/>
  <c r="S179" i="5"/>
  <c r="T179" i="5"/>
  <c r="U179" i="5"/>
  <c r="V179" i="5"/>
  <c r="W179" i="5"/>
  <c r="X179" i="5"/>
  <c r="O180" i="5"/>
  <c r="P180" i="5"/>
  <c r="Q180" i="5"/>
  <c r="R180" i="5"/>
  <c r="S180" i="5"/>
  <c r="T180" i="5"/>
  <c r="U180" i="5"/>
  <c r="V180" i="5"/>
  <c r="W180" i="5"/>
  <c r="X180" i="5"/>
  <c r="O181" i="5"/>
  <c r="P181" i="5"/>
  <c r="Q181" i="5"/>
  <c r="R181" i="5"/>
  <c r="S181" i="5"/>
  <c r="T181" i="5"/>
  <c r="U181" i="5"/>
  <c r="V181" i="5"/>
  <c r="W181" i="5"/>
  <c r="X181" i="5"/>
  <c r="O182" i="5"/>
  <c r="P182" i="5"/>
  <c r="Q182" i="5"/>
  <c r="R182" i="5"/>
  <c r="S182" i="5"/>
  <c r="T182" i="5"/>
  <c r="U182" i="5"/>
  <c r="V182" i="5"/>
  <c r="AD182" i="5" s="1"/>
  <c r="W182" i="5"/>
  <c r="X182" i="5"/>
  <c r="O183" i="5"/>
  <c r="P183" i="5"/>
  <c r="Q183" i="5"/>
  <c r="R183" i="5"/>
  <c r="S183" i="5"/>
  <c r="T183" i="5"/>
  <c r="U183" i="5"/>
  <c r="V183" i="5"/>
  <c r="W183" i="5"/>
  <c r="X183" i="5"/>
  <c r="O184" i="5"/>
  <c r="P184" i="5"/>
  <c r="Q184" i="5"/>
  <c r="R184" i="5"/>
  <c r="S184" i="5"/>
  <c r="T184" i="5"/>
  <c r="U184" i="5"/>
  <c r="V184" i="5"/>
  <c r="W184" i="5"/>
  <c r="X184" i="5"/>
  <c r="O185" i="5"/>
  <c r="P185" i="5"/>
  <c r="Q185" i="5"/>
  <c r="R185" i="5"/>
  <c r="S185" i="5"/>
  <c r="T185" i="5"/>
  <c r="U185" i="5"/>
  <c r="V185" i="5"/>
  <c r="W185" i="5"/>
  <c r="X185" i="5"/>
  <c r="O186" i="5"/>
  <c r="P186" i="5"/>
  <c r="Q186" i="5"/>
  <c r="R186" i="5"/>
  <c r="S186" i="5"/>
  <c r="T186" i="5"/>
  <c r="U186" i="5"/>
  <c r="V186" i="5"/>
  <c r="AD186" i="5" s="1"/>
  <c r="W186" i="5"/>
  <c r="X186" i="5"/>
  <c r="O187" i="5"/>
  <c r="P187" i="5"/>
  <c r="Q187" i="5"/>
  <c r="R187" i="5"/>
  <c r="S187" i="5"/>
  <c r="T187" i="5"/>
  <c r="U187" i="5"/>
  <c r="V187" i="5"/>
  <c r="W187" i="5"/>
  <c r="X187" i="5"/>
  <c r="O188" i="5"/>
  <c r="P188" i="5"/>
  <c r="Q188" i="5"/>
  <c r="R188" i="5"/>
  <c r="S188" i="5"/>
  <c r="T188" i="5"/>
  <c r="U188" i="5"/>
  <c r="V188" i="5"/>
  <c r="W188" i="5"/>
  <c r="X188" i="5"/>
  <c r="O189" i="5"/>
  <c r="P189" i="5"/>
  <c r="Q189" i="5"/>
  <c r="R189" i="5"/>
  <c r="S189" i="5"/>
  <c r="T189" i="5"/>
  <c r="U189" i="5"/>
  <c r="V189" i="5"/>
  <c r="W189" i="5"/>
  <c r="X189" i="5"/>
  <c r="O190" i="5"/>
  <c r="P190" i="5"/>
  <c r="Q190" i="5"/>
  <c r="R190" i="5"/>
  <c r="S190" i="5"/>
  <c r="T190" i="5"/>
  <c r="U190" i="5"/>
  <c r="V190" i="5"/>
  <c r="AD190" i="5" s="1"/>
  <c r="W190" i="5"/>
  <c r="X190" i="5"/>
  <c r="O191" i="5"/>
  <c r="P191" i="5"/>
  <c r="Q191" i="5"/>
  <c r="R191" i="5"/>
  <c r="S191" i="5"/>
  <c r="T191" i="5"/>
  <c r="U191" i="5"/>
  <c r="V191" i="5"/>
  <c r="W191" i="5"/>
  <c r="X191" i="5"/>
  <c r="O192" i="5"/>
  <c r="P192" i="5"/>
  <c r="Q192" i="5"/>
  <c r="R192" i="5"/>
  <c r="S192" i="5"/>
  <c r="T192" i="5"/>
  <c r="U192" i="5"/>
  <c r="V192" i="5"/>
  <c r="W192" i="5"/>
  <c r="X192" i="5"/>
  <c r="O193" i="5"/>
  <c r="P193" i="5"/>
  <c r="Q193" i="5"/>
  <c r="R193" i="5"/>
  <c r="S193" i="5"/>
  <c r="T193" i="5"/>
  <c r="U193" i="5"/>
  <c r="V193" i="5"/>
  <c r="W193" i="5"/>
  <c r="X193" i="5"/>
  <c r="O194" i="5"/>
  <c r="P194" i="5"/>
  <c r="Q194" i="5"/>
  <c r="R194" i="5"/>
  <c r="S194" i="5"/>
  <c r="T194" i="5"/>
  <c r="U194" i="5"/>
  <c r="V194" i="5"/>
  <c r="AD194" i="5" s="1"/>
  <c r="W194" i="5"/>
  <c r="X194" i="5"/>
  <c r="O195" i="5"/>
  <c r="P195" i="5"/>
  <c r="Q195" i="5"/>
  <c r="R195" i="5"/>
  <c r="S195" i="5"/>
  <c r="T195" i="5"/>
  <c r="U195" i="5"/>
  <c r="V195" i="5"/>
  <c r="W195" i="5"/>
  <c r="X195" i="5"/>
  <c r="O196" i="5"/>
  <c r="P196" i="5"/>
  <c r="Q196" i="5"/>
  <c r="R196" i="5"/>
  <c r="S196" i="5"/>
  <c r="T196" i="5"/>
  <c r="U196" i="5"/>
  <c r="V196" i="5"/>
  <c r="W196" i="5"/>
  <c r="X196" i="5"/>
  <c r="O197" i="5"/>
  <c r="P197" i="5"/>
  <c r="Q197" i="5"/>
  <c r="R197" i="5"/>
  <c r="S197" i="5"/>
  <c r="T197" i="5"/>
  <c r="U197" i="5"/>
  <c r="V197" i="5"/>
  <c r="W197" i="5"/>
  <c r="X197" i="5"/>
  <c r="O198" i="5"/>
  <c r="P198" i="5"/>
  <c r="Q198" i="5"/>
  <c r="R198" i="5"/>
  <c r="S198" i="5"/>
  <c r="T198" i="5"/>
  <c r="U198" i="5"/>
  <c r="V198" i="5"/>
  <c r="AD198" i="5" s="1"/>
  <c r="W198" i="5"/>
  <c r="X198" i="5"/>
  <c r="O199" i="5"/>
  <c r="P199" i="5"/>
  <c r="Q199" i="5"/>
  <c r="R199" i="5"/>
  <c r="S199" i="5"/>
  <c r="T199" i="5"/>
  <c r="U199" i="5"/>
  <c r="V199" i="5"/>
  <c r="W199" i="5"/>
  <c r="X199" i="5"/>
  <c r="O200" i="5"/>
  <c r="P200" i="5"/>
  <c r="Q200" i="5"/>
  <c r="R200" i="5"/>
  <c r="S200" i="5"/>
  <c r="T200" i="5"/>
  <c r="U200" i="5"/>
  <c r="V200" i="5"/>
  <c r="W200" i="5"/>
  <c r="X200" i="5"/>
  <c r="O201" i="5"/>
  <c r="P201" i="5"/>
  <c r="Q201" i="5"/>
  <c r="R201" i="5"/>
  <c r="S201" i="5"/>
  <c r="T201" i="5"/>
  <c r="U201" i="5"/>
  <c r="V201" i="5"/>
  <c r="W201" i="5"/>
  <c r="X201" i="5"/>
  <c r="O202" i="5"/>
  <c r="P202" i="5"/>
  <c r="Q202" i="5"/>
  <c r="R202" i="5"/>
  <c r="S202" i="5"/>
  <c r="T202" i="5"/>
  <c r="U202" i="5"/>
  <c r="V202" i="5"/>
  <c r="W202" i="5"/>
  <c r="X202" i="5"/>
  <c r="AA203" i="3"/>
  <c r="AA204" i="3"/>
  <c r="AA205" i="3"/>
  <c r="AA206" i="3"/>
  <c r="AA207" i="3"/>
  <c r="AA208" i="3"/>
  <c r="AA209" i="3"/>
  <c r="AA210" i="3"/>
  <c r="AA211" i="3"/>
  <c r="AA212" i="3"/>
  <c r="AA213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O176" i="3"/>
  <c r="P176" i="3"/>
  <c r="Q176" i="3"/>
  <c r="R176" i="3"/>
  <c r="S176" i="3"/>
  <c r="T176" i="3"/>
  <c r="U176" i="3"/>
  <c r="V176" i="3"/>
  <c r="W176" i="3"/>
  <c r="O177" i="3"/>
  <c r="P177" i="3"/>
  <c r="Q177" i="3"/>
  <c r="R177" i="3"/>
  <c r="S177" i="3"/>
  <c r="T177" i="3"/>
  <c r="U177" i="3"/>
  <c r="V177" i="3"/>
  <c r="W177" i="3"/>
  <c r="O178" i="3"/>
  <c r="P178" i="3"/>
  <c r="Q178" i="3"/>
  <c r="R178" i="3"/>
  <c r="S178" i="3"/>
  <c r="T178" i="3"/>
  <c r="U178" i="3"/>
  <c r="V178" i="3"/>
  <c r="W178" i="3"/>
  <c r="O179" i="3"/>
  <c r="P179" i="3"/>
  <c r="Q179" i="3"/>
  <c r="R179" i="3"/>
  <c r="S179" i="3"/>
  <c r="T179" i="3"/>
  <c r="U179" i="3"/>
  <c r="V179" i="3"/>
  <c r="W179" i="3"/>
  <c r="O180" i="3"/>
  <c r="P180" i="3"/>
  <c r="Q180" i="3"/>
  <c r="R180" i="3"/>
  <c r="S180" i="3"/>
  <c r="T180" i="3"/>
  <c r="U180" i="3"/>
  <c r="V180" i="3"/>
  <c r="W180" i="3"/>
  <c r="O181" i="3"/>
  <c r="P181" i="3"/>
  <c r="Q181" i="3"/>
  <c r="R181" i="3"/>
  <c r="S181" i="3"/>
  <c r="T181" i="3"/>
  <c r="U181" i="3"/>
  <c r="V181" i="3"/>
  <c r="W181" i="3"/>
  <c r="O182" i="3"/>
  <c r="P182" i="3"/>
  <c r="Q182" i="3"/>
  <c r="R182" i="3"/>
  <c r="S182" i="3"/>
  <c r="T182" i="3"/>
  <c r="U182" i="3"/>
  <c r="V182" i="3"/>
  <c r="W182" i="3"/>
  <c r="O183" i="3"/>
  <c r="P183" i="3"/>
  <c r="Q183" i="3"/>
  <c r="R183" i="3"/>
  <c r="S183" i="3"/>
  <c r="T183" i="3"/>
  <c r="U183" i="3"/>
  <c r="V183" i="3"/>
  <c r="W183" i="3"/>
  <c r="O184" i="3"/>
  <c r="P184" i="3"/>
  <c r="Q184" i="3"/>
  <c r="R184" i="3"/>
  <c r="S184" i="3"/>
  <c r="T184" i="3"/>
  <c r="U184" i="3"/>
  <c r="V184" i="3"/>
  <c r="W184" i="3"/>
  <c r="O185" i="3"/>
  <c r="P185" i="3"/>
  <c r="Q185" i="3"/>
  <c r="R185" i="3"/>
  <c r="S185" i="3"/>
  <c r="T185" i="3"/>
  <c r="U185" i="3"/>
  <c r="V185" i="3"/>
  <c r="W185" i="3"/>
  <c r="O186" i="3"/>
  <c r="P186" i="3"/>
  <c r="Q186" i="3"/>
  <c r="R186" i="3"/>
  <c r="S186" i="3"/>
  <c r="T186" i="3"/>
  <c r="U186" i="3"/>
  <c r="V186" i="3"/>
  <c r="W186" i="3"/>
  <c r="O187" i="3"/>
  <c r="P187" i="3"/>
  <c r="Q187" i="3"/>
  <c r="R187" i="3"/>
  <c r="S187" i="3"/>
  <c r="T187" i="3"/>
  <c r="U187" i="3"/>
  <c r="V187" i="3"/>
  <c r="W187" i="3"/>
  <c r="O188" i="3"/>
  <c r="P188" i="3"/>
  <c r="Q188" i="3"/>
  <c r="R188" i="3"/>
  <c r="S188" i="3"/>
  <c r="T188" i="3"/>
  <c r="U188" i="3"/>
  <c r="V188" i="3"/>
  <c r="W188" i="3"/>
  <c r="O189" i="3"/>
  <c r="P189" i="3"/>
  <c r="Q189" i="3"/>
  <c r="R189" i="3"/>
  <c r="S189" i="3"/>
  <c r="T189" i="3"/>
  <c r="U189" i="3"/>
  <c r="V189" i="3"/>
  <c r="W189" i="3"/>
  <c r="O190" i="3"/>
  <c r="P190" i="3"/>
  <c r="Q190" i="3"/>
  <c r="R190" i="3"/>
  <c r="S190" i="3"/>
  <c r="T190" i="3"/>
  <c r="U190" i="3"/>
  <c r="V190" i="3"/>
  <c r="W190" i="3"/>
  <c r="O191" i="3"/>
  <c r="P191" i="3"/>
  <c r="Q191" i="3"/>
  <c r="R191" i="3"/>
  <c r="S191" i="3"/>
  <c r="T191" i="3"/>
  <c r="U191" i="3"/>
  <c r="V191" i="3"/>
  <c r="W191" i="3"/>
  <c r="O192" i="3"/>
  <c r="P192" i="3"/>
  <c r="Q192" i="3"/>
  <c r="R192" i="3"/>
  <c r="S192" i="3"/>
  <c r="T192" i="3"/>
  <c r="U192" i="3"/>
  <c r="V192" i="3"/>
  <c r="W192" i="3"/>
  <c r="O193" i="3"/>
  <c r="P193" i="3"/>
  <c r="Q193" i="3"/>
  <c r="R193" i="3"/>
  <c r="S193" i="3"/>
  <c r="T193" i="3"/>
  <c r="U193" i="3"/>
  <c r="V193" i="3"/>
  <c r="W193" i="3"/>
  <c r="O194" i="3"/>
  <c r="P194" i="3"/>
  <c r="Q194" i="3"/>
  <c r="R194" i="3"/>
  <c r="S194" i="3"/>
  <c r="T194" i="3"/>
  <c r="U194" i="3"/>
  <c r="V194" i="3"/>
  <c r="W194" i="3"/>
  <c r="O195" i="3"/>
  <c r="P195" i="3"/>
  <c r="Q195" i="3"/>
  <c r="R195" i="3"/>
  <c r="S195" i="3"/>
  <c r="T195" i="3"/>
  <c r="U195" i="3"/>
  <c r="V195" i="3"/>
  <c r="W195" i="3"/>
  <c r="O196" i="3"/>
  <c r="P196" i="3"/>
  <c r="Q196" i="3"/>
  <c r="R196" i="3"/>
  <c r="S196" i="3"/>
  <c r="T196" i="3"/>
  <c r="U196" i="3"/>
  <c r="V196" i="3"/>
  <c r="W196" i="3"/>
  <c r="O197" i="3"/>
  <c r="P197" i="3"/>
  <c r="Q197" i="3"/>
  <c r="R197" i="3"/>
  <c r="S197" i="3"/>
  <c r="T197" i="3"/>
  <c r="U197" i="3"/>
  <c r="V197" i="3"/>
  <c r="W197" i="3"/>
  <c r="O198" i="3"/>
  <c r="P198" i="3"/>
  <c r="Q198" i="3"/>
  <c r="R198" i="3"/>
  <c r="S198" i="3"/>
  <c r="T198" i="3"/>
  <c r="U198" i="3"/>
  <c r="V198" i="3"/>
  <c r="W198" i="3"/>
  <c r="O199" i="3"/>
  <c r="P199" i="3"/>
  <c r="Q199" i="3"/>
  <c r="R199" i="3"/>
  <c r="S199" i="3"/>
  <c r="T199" i="3"/>
  <c r="U199" i="3"/>
  <c r="V199" i="3"/>
  <c r="W199" i="3"/>
  <c r="O200" i="3"/>
  <c r="P200" i="3"/>
  <c r="Q200" i="3"/>
  <c r="R200" i="3"/>
  <c r="S200" i="3"/>
  <c r="T200" i="3"/>
  <c r="U200" i="3"/>
  <c r="V200" i="3"/>
  <c r="W200" i="3"/>
  <c r="O201" i="3"/>
  <c r="P201" i="3"/>
  <c r="Q201" i="3"/>
  <c r="R201" i="3"/>
  <c r="S201" i="3"/>
  <c r="T201" i="3"/>
  <c r="U201" i="3"/>
  <c r="V201" i="3"/>
  <c r="W201" i="3"/>
  <c r="O202" i="3"/>
  <c r="P202" i="3"/>
  <c r="Q202" i="3"/>
  <c r="R202" i="3"/>
  <c r="S202" i="3"/>
  <c r="T202" i="3"/>
  <c r="U202" i="3"/>
  <c r="V202" i="3"/>
  <c r="W202" i="3"/>
  <c r="AD201" i="5" l="1"/>
  <c r="AD185" i="5"/>
  <c r="AD181" i="5"/>
  <c r="AD177" i="5"/>
  <c r="AC197" i="5"/>
  <c r="AC193" i="5"/>
  <c r="AC189" i="5"/>
  <c r="AC201" i="5"/>
  <c r="AD197" i="5"/>
  <c r="AD193" i="5"/>
  <c r="AD189" i="5"/>
  <c r="AD202" i="5"/>
  <c r="AC202" i="5"/>
  <c r="AC194" i="5"/>
  <c r="AC186" i="5"/>
  <c r="AC178" i="5"/>
  <c r="AC196" i="5"/>
  <c r="AC188" i="5"/>
  <c r="AC180" i="5"/>
  <c r="AC192" i="5"/>
  <c r="AC184" i="5"/>
  <c r="AC176" i="5"/>
  <c r="AC200" i="5"/>
  <c r="AC199" i="5"/>
  <c r="AC195" i="5"/>
  <c r="AC191" i="5"/>
  <c r="AC187" i="5"/>
  <c r="AC183" i="5"/>
  <c r="AC179" i="5"/>
  <c r="AC181" i="5"/>
  <c r="AC177" i="5"/>
  <c r="AC185" i="5"/>
  <c r="AC198" i="5"/>
  <c r="AC190" i="5"/>
  <c r="AC182" i="5"/>
  <c r="AD195" i="5"/>
  <c r="AD187" i="5"/>
  <c r="AD179" i="5"/>
  <c r="AD200" i="5"/>
  <c r="AD192" i="5"/>
  <c r="AD184" i="5"/>
  <c r="AD176" i="5"/>
  <c r="AD178" i="5"/>
  <c r="AD199" i="5"/>
  <c r="AD191" i="5"/>
  <c r="AD183" i="5"/>
  <c r="AD196" i="5"/>
  <c r="AD188" i="5"/>
  <c r="AD180" i="5"/>
  <c r="AA168" i="3"/>
  <c r="AA169" i="3"/>
  <c r="AA170" i="3"/>
  <c r="AA171" i="3"/>
  <c r="AA172" i="3"/>
  <c r="AA173" i="3"/>
  <c r="AA174" i="3"/>
  <c r="AA175" i="3"/>
  <c r="O168" i="3"/>
  <c r="P168" i="3"/>
  <c r="Q168" i="3"/>
  <c r="R168" i="3"/>
  <c r="S168" i="3"/>
  <c r="T168" i="3"/>
  <c r="U168" i="3"/>
  <c r="V168" i="3"/>
  <c r="W168" i="3"/>
  <c r="X168" i="3"/>
  <c r="O169" i="3"/>
  <c r="P169" i="3"/>
  <c r="Q169" i="3"/>
  <c r="R169" i="3"/>
  <c r="S169" i="3"/>
  <c r="T169" i="3"/>
  <c r="U169" i="3"/>
  <c r="V169" i="3"/>
  <c r="W169" i="3"/>
  <c r="X169" i="3"/>
  <c r="O170" i="3"/>
  <c r="P170" i="3"/>
  <c r="Q170" i="3"/>
  <c r="R170" i="3"/>
  <c r="S170" i="3"/>
  <c r="T170" i="3"/>
  <c r="U170" i="3"/>
  <c r="V170" i="3"/>
  <c r="W170" i="3"/>
  <c r="X170" i="3"/>
  <c r="O171" i="3"/>
  <c r="P171" i="3"/>
  <c r="Q171" i="3"/>
  <c r="R171" i="3"/>
  <c r="S171" i="3"/>
  <c r="T171" i="3"/>
  <c r="U171" i="3"/>
  <c r="V171" i="3"/>
  <c r="W171" i="3"/>
  <c r="X171" i="3"/>
  <c r="O172" i="3"/>
  <c r="P172" i="3"/>
  <c r="Q172" i="3"/>
  <c r="R172" i="3"/>
  <c r="S172" i="3"/>
  <c r="T172" i="3"/>
  <c r="U172" i="3"/>
  <c r="V172" i="3"/>
  <c r="W172" i="3"/>
  <c r="X172" i="3"/>
  <c r="O173" i="3"/>
  <c r="P173" i="3"/>
  <c r="Q173" i="3"/>
  <c r="R173" i="3"/>
  <c r="S173" i="3"/>
  <c r="T173" i="3"/>
  <c r="U173" i="3"/>
  <c r="V173" i="3"/>
  <c r="W173" i="3"/>
  <c r="X173" i="3"/>
  <c r="O174" i="3"/>
  <c r="P174" i="3"/>
  <c r="Q174" i="3"/>
  <c r="R174" i="3"/>
  <c r="S174" i="3"/>
  <c r="T174" i="3"/>
  <c r="U174" i="3"/>
  <c r="V174" i="3"/>
  <c r="W174" i="3"/>
  <c r="X174" i="3"/>
  <c r="O175" i="3"/>
  <c r="P175" i="3"/>
  <c r="Q175" i="3"/>
  <c r="R175" i="3"/>
  <c r="S175" i="3"/>
  <c r="T175" i="3"/>
  <c r="U175" i="3"/>
  <c r="V175" i="3"/>
  <c r="W175" i="3"/>
  <c r="X175" i="3"/>
  <c r="O162" i="5"/>
  <c r="P162" i="5"/>
  <c r="Q162" i="5"/>
  <c r="R162" i="5"/>
  <c r="S162" i="5"/>
  <c r="T162" i="5"/>
  <c r="U162" i="5"/>
  <c r="V162" i="5"/>
  <c r="W162" i="5"/>
  <c r="X162" i="5"/>
  <c r="AB162" i="5"/>
  <c r="O163" i="5"/>
  <c r="P163" i="5"/>
  <c r="Q163" i="5"/>
  <c r="R163" i="5"/>
  <c r="S163" i="5"/>
  <c r="T163" i="5"/>
  <c r="U163" i="5"/>
  <c r="V163" i="5"/>
  <c r="W163" i="5"/>
  <c r="X163" i="5"/>
  <c r="AB163" i="5"/>
  <c r="O164" i="5"/>
  <c r="P164" i="5"/>
  <c r="Q164" i="5"/>
  <c r="R164" i="5"/>
  <c r="S164" i="5"/>
  <c r="T164" i="5"/>
  <c r="U164" i="5"/>
  <c r="V164" i="5"/>
  <c r="W164" i="5"/>
  <c r="X164" i="5"/>
  <c r="AB164" i="5"/>
  <c r="O165" i="5"/>
  <c r="P165" i="5"/>
  <c r="Q165" i="5"/>
  <c r="R165" i="5"/>
  <c r="S165" i="5"/>
  <c r="T165" i="5"/>
  <c r="U165" i="5"/>
  <c r="V165" i="5"/>
  <c r="W165" i="5"/>
  <c r="X165" i="5"/>
  <c r="AB165" i="5"/>
  <c r="O166" i="5"/>
  <c r="P166" i="5"/>
  <c r="Q166" i="5"/>
  <c r="R166" i="5"/>
  <c r="S166" i="5"/>
  <c r="T166" i="5"/>
  <c r="U166" i="5"/>
  <c r="V166" i="5"/>
  <c r="W166" i="5"/>
  <c r="X166" i="5"/>
  <c r="AB166" i="5"/>
  <c r="O167" i="5"/>
  <c r="P167" i="5"/>
  <c r="Q167" i="5"/>
  <c r="R167" i="5"/>
  <c r="S167" i="5"/>
  <c r="T167" i="5"/>
  <c r="U167" i="5"/>
  <c r="V167" i="5"/>
  <c r="W167" i="5"/>
  <c r="X167" i="5"/>
  <c r="AB167" i="5"/>
  <c r="O168" i="5"/>
  <c r="P168" i="5"/>
  <c r="Q168" i="5"/>
  <c r="R168" i="5"/>
  <c r="S168" i="5"/>
  <c r="T168" i="5"/>
  <c r="U168" i="5"/>
  <c r="V168" i="5"/>
  <c r="W168" i="5"/>
  <c r="X168" i="5"/>
  <c r="AB168" i="5"/>
  <c r="O169" i="5"/>
  <c r="P169" i="5"/>
  <c r="Q169" i="5"/>
  <c r="R169" i="5"/>
  <c r="S169" i="5"/>
  <c r="T169" i="5"/>
  <c r="U169" i="5"/>
  <c r="V169" i="5"/>
  <c r="W169" i="5"/>
  <c r="X169" i="5"/>
  <c r="AB169" i="5"/>
  <c r="O170" i="5"/>
  <c r="P170" i="5"/>
  <c r="Q170" i="5"/>
  <c r="R170" i="5"/>
  <c r="S170" i="5"/>
  <c r="T170" i="5"/>
  <c r="U170" i="5"/>
  <c r="V170" i="5"/>
  <c r="W170" i="5"/>
  <c r="X170" i="5"/>
  <c r="AB170" i="5"/>
  <c r="O171" i="5"/>
  <c r="P171" i="5"/>
  <c r="Q171" i="5"/>
  <c r="R171" i="5"/>
  <c r="S171" i="5"/>
  <c r="T171" i="5"/>
  <c r="U171" i="5"/>
  <c r="V171" i="5"/>
  <c r="W171" i="5"/>
  <c r="X171" i="5"/>
  <c r="AB171" i="5"/>
  <c r="O172" i="5"/>
  <c r="P172" i="5"/>
  <c r="Q172" i="5"/>
  <c r="R172" i="5"/>
  <c r="S172" i="5"/>
  <c r="T172" i="5"/>
  <c r="U172" i="5"/>
  <c r="V172" i="5"/>
  <c r="W172" i="5"/>
  <c r="X172" i="5"/>
  <c r="AB172" i="5"/>
  <c r="O173" i="5"/>
  <c r="P173" i="5"/>
  <c r="Q173" i="5"/>
  <c r="R173" i="5"/>
  <c r="S173" i="5"/>
  <c r="T173" i="5"/>
  <c r="U173" i="5"/>
  <c r="V173" i="5"/>
  <c r="W173" i="5"/>
  <c r="X173" i="5"/>
  <c r="AB173" i="5"/>
  <c r="O174" i="5"/>
  <c r="P174" i="5"/>
  <c r="Q174" i="5"/>
  <c r="R174" i="5"/>
  <c r="S174" i="5"/>
  <c r="T174" i="5"/>
  <c r="U174" i="5"/>
  <c r="V174" i="5"/>
  <c r="W174" i="5"/>
  <c r="X174" i="5"/>
  <c r="AB174" i="5"/>
  <c r="O175" i="5"/>
  <c r="P175" i="5"/>
  <c r="Q175" i="5"/>
  <c r="R175" i="5"/>
  <c r="S175" i="5"/>
  <c r="T175" i="5"/>
  <c r="U175" i="5"/>
  <c r="V175" i="5"/>
  <c r="W175" i="5"/>
  <c r="X175" i="5"/>
  <c r="AB175" i="5"/>
  <c r="AD162" i="5" l="1"/>
  <c r="AD173" i="5"/>
  <c r="AC175" i="5"/>
  <c r="AC174" i="5"/>
  <c r="AD164" i="5"/>
  <c r="AD165" i="5"/>
  <c r="AC172" i="5"/>
  <c r="AC166" i="5"/>
  <c r="AC162" i="5"/>
  <c r="AD169" i="5"/>
  <c r="AC170" i="5"/>
  <c r="AC163" i="5"/>
  <c r="AD174" i="5"/>
  <c r="AD172" i="5"/>
  <c r="AC169" i="5"/>
  <c r="AC167" i="5"/>
  <c r="AD166" i="5"/>
  <c r="AC164" i="5"/>
  <c r="AC168" i="5"/>
  <c r="AC173" i="5"/>
  <c r="AC171" i="5"/>
  <c r="AD170" i="5"/>
  <c r="AD168" i="5"/>
  <c r="AC165" i="5"/>
  <c r="AD175" i="5"/>
  <c r="AD171" i="5"/>
  <c r="AD167" i="5"/>
  <c r="AD163" i="5"/>
  <c r="O147" i="3"/>
  <c r="P147" i="3"/>
  <c r="Q147" i="3"/>
  <c r="R147" i="3"/>
  <c r="S147" i="3"/>
  <c r="T147" i="3"/>
  <c r="U147" i="3"/>
  <c r="V147" i="3"/>
  <c r="W147" i="3"/>
  <c r="X147" i="3"/>
  <c r="AA147" i="3"/>
  <c r="O148" i="3"/>
  <c r="P148" i="3"/>
  <c r="Q148" i="3"/>
  <c r="R148" i="3"/>
  <c r="S148" i="3"/>
  <c r="T148" i="3"/>
  <c r="U148" i="3"/>
  <c r="V148" i="3"/>
  <c r="W148" i="3"/>
  <c r="X148" i="3"/>
  <c r="AA148" i="3"/>
  <c r="O149" i="3"/>
  <c r="P149" i="3"/>
  <c r="Q149" i="3"/>
  <c r="R149" i="3"/>
  <c r="S149" i="3"/>
  <c r="T149" i="3"/>
  <c r="U149" i="3"/>
  <c r="V149" i="3"/>
  <c r="W149" i="3"/>
  <c r="X149" i="3"/>
  <c r="AA149" i="3"/>
  <c r="O150" i="3"/>
  <c r="P150" i="3"/>
  <c r="Q150" i="3"/>
  <c r="R150" i="3"/>
  <c r="S150" i="3"/>
  <c r="T150" i="3"/>
  <c r="U150" i="3"/>
  <c r="V150" i="3"/>
  <c r="W150" i="3"/>
  <c r="X150" i="3"/>
  <c r="AA150" i="3"/>
  <c r="O151" i="3"/>
  <c r="P151" i="3"/>
  <c r="Q151" i="3"/>
  <c r="R151" i="3"/>
  <c r="S151" i="3"/>
  <c r="T151" i="3"/>
  <c r="U151" i="3"/>
  <c r="V151" i="3"/>
  <c r="W151" i="3"/>
  <c r="X151" i="3"/>
  <c r="AA151" i="3"/>
  <c r="O152" i="3"/>
  <c r="P152" i="3"/>
  <c r="Q152" i="3"/>
  <c r="R152" i="3"/>
  <c r="S152" i="3"/>
  <c r="T152" i="3"/>
  <c r="U152" i="3"/>
  <c r="V152" i="3"/>
  <c r="W152" i="3"/>
  <c r="X152" i="3"/>
  <c r="AA152" i="3"/>
  <c r="O153" i="3"/>
  <c r="P153" i="3"/>
  <c r="Q153" i="3"/>
  <c r="R153" i="3"/>
  <c r="S153" i="3"/>
  <c r="T153" i="3"/>
  <c r="U153" i="3"/>
  <c r="V153" i="3"/>
  <c r="W153" i="3"/>
  <c r="X153" i="3"/>
  <c r="AA153" i="3"/>
  <c r="O154" i="3"/>
  <c r="P154" i="3"/>
  <c r="Q154" i="3"/>
  <c r="R154" i="3"/>
  <c r="S154" i="3"/>
  <c r="T154" i="3"/>
  <c r="U154" i="3"/>
  <c r="V154" i="3"/>
  <c r="W154" i="3"/>
  <c r="X154" i="3"/>
  <c r="AA154" i="3"/>
  <c r="O155" i="3"/>
  <c r="P155" i="3"/>
  <c r="Q155" i="3"/>
  <c r="R155" i="3"/>
  <c r="S155" i="3"/>
  <c r="T155" i="3"/>
  <c r="U155" i="3"/>
  <c r="V155" i="3"/>
  <c r="W155" i="3"/>
  <c r="X155" i="3"/>
  <c r="AA155" i="3"/>
  <c r="O156" i="3"/>
  <c r="P156" i="3"/>
  <c r="Q156" i="3"/>
  <c r="R156" i="3"/>
  <c r="S156" i="3"/>
  <c r="T156" i="3"/>
  <c r="U156" i="3"/>
  <c r="V156" i="3"/>
  <c r="W156" i="3"/>
  <c r="X156" i="3"/>
  <c r="AA156" i="3"/>
  <c r="O157" i="3"/>
  <c r="P157" i="3"/>
  <c r="Q157" i="3"/>
  <c r="R157" i="3"/>
  <c r="S157" i="3"/>
  <c r="T157" i="3"/>
  <c r="U157" i="3"/>
  <c r="V157" i="3"/>
  <c r="W157" i="3"/>
  <c r="X157" i="3"/>
  <c r="AA157" i="3"/>
  <c r="O158" i="3"/>
  <c r="P158" i="3"/>
  <c r="Q158" i="3"/>
  <c r="R158" i="3"/>
  <c r="S158" i="3"/>
  <c r="T158" i="3"/>
  <c r="U158" i="3"/>
  <c r="V158" i="3"/>
  <c r="W158" i="3"/>
  <c r="X158" i="3"/>
  <c r="AA158" i="3"/>
  <c r="O159" i="3"/>
  <c r="P159" i="3"/>
  <c r="Q159" i="3"/>
  <c r="R159" i="3"/>
  <c r="S159" i="3"/>
  <c r="T159" i="3"/>
  <c r="U159" i="3"/>
  <c r="V159" i="3"/>
  <c r="W159" i="3"/>
  <c r="X159" i="3"/>
  <c r="AA159" i="3"/>
  <c r="O160" i="3"/>
  <c r="P160" i="3"/>
  <c r="Q160" i="3"/>
  <c r="R160" i="3"/>
  <c r="S160" i="3"/>
  <c r="T160" i="3"/>
  <c r="U160" i="3"/>
  <c r="V160" i="3"/>
  <c r="W160" i="3"/>
  <c r="X160" i="3"/>
  <c r="AA160" i="3"/>
  <c r="O161" i="3"/>
  <c r="P161" i="3"/>
  <c r="Q161" i="3"/>
  <c r="R161" i="3"/>
  <c r="S161" i="3"/>
  <c r="T161" i="3"/>
  <c r="U161" i="3"/>
  <c r="V161" i="3"/>
  <c r="W161" i="3"/>
  <c r="X161" i="3"/>
  <c r="AA161" i="3"/>
  <c r="O162" i="3"/>
  <c r="P162" i="3"/>
  <c r="Q162" i="3"/>
  <c r="R162" i="3"/>
  <c r="S162" i="3"/>
  <c r="T162" i="3"/>
  <c r="U162" i="3"/>
  <c r="V162" i="3"/>
  <c r="W162" i="3"/>
  <c r="X162" i="3"/>
  <c r="AA162" i="3"/>
  <c r="O163" i="3"/>
  <c r="P163" i="3"/>
  <c r="Q163" i="3"/>
  <c r="R163" i="3"/>
  <c r="S163" i="3"/>
  <c r="T163" i="3"/>
  <c r="U163" i="3"/>
  <c r="V163" i="3"/>
  <c r="W163" i="3"/>
  <c r="X163" i="3"/>
  <c r="AA163" i="3"/>
  <c r="O164" i="3"/>
  <c r="P164" i="3"/>
  <c r="Q164" i="3"/>
  <c r="R164" i="3"/>
  <c r="S164" i="3"/>
  <c r="T164" i="3"/>
  <c r="U164" i="3"/>
  <c r="V164" i="3"/>
  <c r="W164" i="3"/>
  <c r="X164" i="3"/>
  <c r="AA164" i="3"/>
  <c r="O165" i="3"/>
  <c r="P165" i="3"/>
  <c r="Q165" i="3"/>
  <c r="R165" i="3"/>
  <c r="S165" i="3"/>
  <c r="T165" i="3"/>
  <c r="U165" i="3"/>
  <c r="V165" i="3"/>
  <c r="W165" i="3"/>
  <c r="X165" i="3"/>
  <c r="AA165" i="3"/>
  <c r="O166" i="3"/>
  <c r="P166" i="3"/>
  <c r="Q166" i="3"/>
  <c r="R166" i="3"/>
  <c r="S166" i="3"/>
  <c r="T166" i="3"/>
  <c r="U166" i="3"/>
  <c r="V166" i="3"/>
  <c r="W166" i="3"/>
  <c r="X166" i="3"/>
  <c r="AA166" i="3"/>
  <c r="O167" i="3"/>
  <c r="P167" i="3"/>
  <c r="Q167" i="3"/>
  <c r="R167" i="3"/>
  <c r="S167" i="3"/>
  <c r="T167" i="3"/>
  <c r="U167" i="3"/>
  <c r="V167" i="3"/>
  <c r="W167" i="3"/>
  <c r="X167" i="3"/>
  <c r="AA167" i="3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X161" i="5"/>
  <c r="W161" i="5"/>
  <c r="V161" i="5"/>
  <c r="U161" i="5"/>
  <c r="T161" i="5"/>
  <c r="S161" i="5"/>
  <c r="R161" i="5"/>
  <c r="Q161" i="5"/>
  <c r="P161" i="5"/>
  <c r="O161" i="5"/>
  <c r="X160" i="5"/>
  <c r="W160" i="5"/>
  <c r="V160" i="5"/>
  <c r="U160" i="5"/>
  <c r="T160" i="5"/>
  <c r="S160" i="5"/>
  <c r="R160" i="5"/>
  <c r="Q160" i="5"/>
  <c r="P160" i="5"/>
  <c r="O160" i="5"/>
  <c r="X159" i="5"/>
  <c r="W159" i="5"/>
  <c r="AD159" i="5" s="1"/>
  <c r="V159" i="5"/>
  <c r="U159" i="5"/>
  <c r="T159" i="5"/>
  <c r="S159" i="5"/>
  <c r="R159" i="5"/>
  <c r="Q159" i="5"/>
  <c r="P159" i="5"/>
  <c r="O159" i="5"/>
  <c r="X158" i="5"/>
  <c r="W158" i="5"/>
  <c r="V158" i="5"/>
  <c r="U158" i="5"/>
  <c r="T158" i="5"/>
  <c r="S158" i="5"/>
  <c r="R158" i="5"/>
  <c r="Q158" i="5"/>
  <c r="P158" i="5"/>
  <c r="O158" i="5"/>
  <c r="X157" i="5"/>
  <c r="W157" i="5"/>
  <c r="V157" i="5"/>
  <c r="U157" i="5"/>
  <c r="T157" i="5"/>
  <c r="S157" i="5"/>
  <c r="R157" i="5"/>
  <c r="Q157" i="5"/>
  <c r="P157" i="5"/>
  <c r="O157" i="5"/>
  <c r="X156" i="5"/>
  <c r="W156" i="5"/>
  <c r="V156" i="5"/>
  <c r="U156" i="5"/>
  <c r="T156" i="5"/>
  <c r="S156" i="5"/>
  <c r="R156" i="5"/>
  <c r="Q156" i="5"/>
  <c r="P156" i="5"/>
  <c r="O156" i="5"/>
  <c r="X155" i="5"/>
  <c r="W155" i="5"/>
  <c r="V155" i="5"/>
  <c r="U155" i="5"/>
  <c r="T155" i="5"/>
  <c r="S155" i="5"/>
  <c r="R155" i="5"/>
  <c r="Q155" i="5"/>
  <c r="P155" i="5"/>
  <c r="O155" i="5"/>
  <c r="X154" i="5"/>
  <c r="W154" i="5"/>
  <c r="V154" i="5"/>
  <c r="U154" i="5"/>
  <c r="AC154" i="5" s="1"/>
  <c r="T154" i="5"/>
  <c r="S154" i="5"/>
  <c r="R154" i="5"/>
  <c r="Q154" i="5"/>
  <c r="P154" i="5"/>
  <c r="O154" i="5"/>
  <c r="X153" i="5"/>
  <c r="W153" i="5"/>
  <c r="V153" i="5"/>
  <c r="U153" i="5"/>
  <c r="T153" i="5"/>
  <c r="S153" i="5"/>
  <c r="R153" i="5"/>
  <c r="Q153" i="5"/>
  <c r="P153" i="5"/>
  <c r="O153" i="5"/>
  <c r="X152" i="5"/>
  <c r="W152" i="5"/>
  <c r="V152" i="5"/>
  <c r="U152" i="5"/>
  <c r="T152" i="5"/>
  <c r="S152" i="5"/>
  <c r="R152" i="5"/>
  <c r="Q152" i="5"/>
  <c r="P152" i="5"/>
  <c r="O152" i="5"/>
  <c r="X151" i="5"/>
  <c r="W151" i="5"/>
  <c r="AD151" i="5" s="1"/>
  <c r="V151" i="5"/>
  <c r="U151" i="5"/>
  <c r="T151" i="5"/>
  <c r="S151" i="5"/>
  <c r="R151" i="5"/>
  <c r="Q151" i="5"/>
  <c r="P151" i="5"/>
  <c r="O151" i="5"/>
  <c r="X150" i="5"/>
  <c r="W150" i="5"/>
  <c r="V150" i="5"/>
  <c r="U150" i="5"/>
  <c r="T150" i="5"/>
  <c r="S150" i="5"/>
  <c r="R150" i="5"/>
  <c r="Q150" i="5"/>
  <c r="P150" i="5"/>
  <c r="O150" i="5"/>
  <c r="X149" i="5"/>
  <c r="W149" i="5"/>
  <c r="V149" i="5"/>
  <c r="U149" i="5"/>
  <c r="AD149" i="5" s="1"/>
  <c r="T149" i="5"/>
  <c r="S149" i="5"/>
  <c r="R149" i="5"/>
  <c r="Q149" i="5"/>
  <c r="P149" i="5"/>
  <c r="O149" i="5"/>
  <c r="X148" i="5"/>
  <c r="W148" i="5"/>
  <c r="V148" i="5"/>
  <c r="U148" i="5"/>
  <c r="AD148" i="5" s="1"/>
  <c r="T148" i="5"/>
  <c r="S148" i="5"/>
  <c r="R148" i="5"/>
  <c r="Q148" i="5"/>
  <c r="P148" i="5"/>
  <c r="O148" i="5"/>
  <c r="X147" i="5"/>
  <c r="W147" i="5"/>
  <c r="V147" i="5"/>
  <c r="U147" i="5"/>
  <c r="T147" i="5"/>
  <c r="S147" i="5"/>
  <c r="R147" i="5"/>
  <c r="Q147" i="5"/>
  <c r="P147" i="5"/>
  <c r="O147" i="5"/>
  <c r="AD156" i="5" l="1"/>
  <c r="AD152" i="5"/>
  <c r="AC160" i="5"/>
  <c r="AC151" i="5"/>
  <c r="AC147" i="5"/>
  <c r="AC155" i="5"/>
  <c r="AC159" i="5"/>
  <c r="AD160" i="5"/>
  <c r="AC153" i="5"/>
  <c r="AC157" i="5"/>
  <c r="AC152" i="5"/>
  <c r="AC149" i="5"/>
  <c r="AD157" i="5"/>
  <c r="AC150" i="5"/>
  <c r="AD154" i="5"/>
  <c r="AC158" i="5"/>
  <c r="AD153" i="5"/>
  <c r="AD158" i="5"/>
  <c r="AD150" i="5"/>
  <c r="AC148" i="5"/>
  <c r="AD155" i="5"/>
  <c r="AD147" i="5"/>
  <c r="AC156" i="5"/>
  <c r="AD161" i="5"/>
  <c r="AC161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O117" i="3"/>
  <c r="P117" i="3"/>
  <c r="Q117" i="3"/>
  <c r="R117" i="3"/>
  <c r="S117" i="3"/>
  <c r="T117" i="3"/>
  <c r="U117" i="3"/>
  <c r="V117" i="3"/>
  <c r="W117" i="3"/>
  <c r="X117" i="3"/>
  <c r="O118" i="3"/>
  <c r="P118" i="3"/>
  <c r="Q118" i="3"/>
  <c r="R118" i="3"/>
  <c r="S118" i="3"/>
  <c r="T118" i="3"/>
  <c r="U118" i="3"/>
  <c r="V118" i="3"/>
  <c r="W118" i="3"/>
  <c r="X118" i="3"/>
  <c r="O119" i="3"/>
  <c r="P119" i="3"/>
  <c r="Q119" i="3"/>
  <c r="R119" i="3"/>
  <c r="S119" i="3"/>
  <c r="T119" i="3"/>
  <c r="U119" i="3"/>
  <c r="V119" i="3"/>
  <c r="W119" i="3"/>
  <c r="X119" i="3"/>
  <c r="O120" i="3"/>
  <c r="P120" i="3"/>
  <c r="Q120" i="3"/>
  <c r="R120" i="3"/>
  <c r="S120" i="3"/>
  <c r="T120" i="3"/>
  <c r="U120" i="3"/>
  <c r="V120" i="3"/>
  <c r="W120" i="3"/>
  <c r="X120" i="3"/>
  <c r="O121" i="3"/>
  <c r="P121" i="3"/>
  <c r="Q121" i="3"/>
  <c r="R121" i="3"/>
  <c r="S121" i="3"/>
  <c r="T121" i="3"/>
  <c r="U121" i="3"/>
  <c r="V121" i="3"/>
  <c r="W121" i="3"/>
  <c r="X121" i="3"/>
  <c r="O122" i="3"/>
  <c r="P122" i="3"/>
  <c r="Q122" i="3"/>
  <c r="R122" i="3"/>
  <c r="S122" i="3"/>
  <c r="T122" i="3"/>
  <c r="U122" i="3"/>
  <c r="V122" i="3"/>
  <c r="W122" i="3"/>
  <c r="X122" i="3"/>
  <c r="O123" i="3"/>
  <c r="P123" i="3"/>
  <c r="Q123" i="3"/>
  <c r="R123" i="3"/>
  <c r="S123" i="3"/>
  <c r="T123" i="3"/>
  <c r="U123" i="3"/>
  <c r="V123" i="3"/>
  <c r="W123" i="3"/>
  <c r="X123" i="3"/>
  <c r="O124" i="3"/>
  <c r="P124" i="3"/>
  <c r="Q124" i="3"/>
  <c r="R124" i="3"/>
  <c r="S124" i="3"/>
  <c r="T124" i="3"/>
  <c r="U124" i="3"/>
  <c r="V124" i="3"/>
  <c r="W124" i="3"/>
  <c r="X124" i="3"/>
  <c r="O125" i="3"/>
  <c r="P125" i="3"/>
  <c r="Q125" i="3"/>
  <c r="R125" i="3"/>
  <c r="S125" i="3"/>
  <c r="T125" i="3"/>
  <c r="U125" i="3"/>
  <c r="V125" i="3"/>
  <c r="W125" i="3"/>
  <c r="X125" i="3"/>
  <c r="O126" i="3"/>
  <c r="P126" i="3"/>
  <c r="Q126" i="3"/>
  <c r="R126" i="3"/>
  <c r="S126" i="3"/>
  <c r="T126" i="3"/>
  <c r="U126" i="3"/>
  <c r="V126" i="3"/>
  <c r="W126" i="3"/>
  <c r="X126" i="3"/>
  <c r="O127" i="3"/>
  <c r="P127" i="3"/>
  <c r="Q127" i="3"/>
  <c r="R127" i="3"/>
  <c r="S127" i="3"/>
  <c r="T127" i="3"/>
  <c r="U127" i="3"/>
  <c r="V127" i="3"/>
  <c r="W127" i="3"/>
  <c r="X127" i="3"/>
  <c r="O128" i="3"/>
  <c r="P128" i="3"/>
  <c r="Q128" i="3"/>
  <c r="R128" i="3"/>
  <c r="S128" i="3"/>
  <c r="T128" i="3"/>
  <c r="U128" i="3"/>
  <c r="V128" i="3"/>
  <c r="W128" i="3"/>
  <c r="X128" i="3"/>
  <c r="O129" i="3"/>
  <c r="P129" i="3"/>
  <c r="Q129" i="3"/>
  <c r="R129" i="3"/>
  <c r="S129" i="3"/>
  <c r="T129" i="3"/>
  <c r="U129" i="3"/>
  <c r="V129" i="3"/>
  <c r="W129" i="3"/>
  <c r="X129" i="3"/>
  <c r="O130" i="3"/>
  <c r="P130" i="3"/>
  <c r="Q130" i="3"/>
  <c r="R130" i="3"/>
  <c r="S130" i="3"/>
  <c r="T130" i="3"/>
  <c r="U130" i="3"/>
  <c r="V130" i="3"/>
  <c r="W130" i="3"/>
  <c r="X130" i="3"/>
  <c r="O131" i="3"/>
  <c r="P131" i="3"/>
  <c r="Q131" i="3"/>
  <c r="R131" i="3"/>
  <c r="S131" i="3"/>
  <c r="T131" i="3"/>
  <c r="U131" i="3"/>
  <c r="V131" i="3"/>
  <c r="W131" i="3"/>
  <c r="X131" i="3"/>
  <c r="O132" i="3"/>
  <c r="P132" i="3"/>
  <c r="Q132" i="3"/>
  <c r="R132" i="3"/>
  <c r="S132" i="3"/>
  <c r="T132" i="3"/>
  <c r="U132" i="3"/>
  <c r="V132" i="3"/>
  <c r="W132" i="3"/>
  <c r="X132" i="3"/>
  <c r="O133" i="3"/>
  <c r="P133" i="3"/>
  <c r="Q133" i="3"/>
  <c r="R133" i="3"/>
  <c r="S133" i="3"/>
  <c r="T133" i="3"/>
  <c r="U133" i="3"/>
  <c r="V133" i="3"/>
  <c r="W133" i="3"/>
  <c r="X133" i="3"/>
  <c r="O134" i="3"/>
  <c r="P134" i="3"/>
  <c r="Q134" i="3"/>
  <c r="R134" i="3"/>
  <c r="S134" i="3"/>
  <c r="T134" i="3"/>
  <c r="U134" i="3"/>
  <c r="V134" i="3"/>
  <c r="W134" i="3"/>
  <c r="X134" i="3"/>
  <c r="O135" i="3"/>
  <c r="P135" i="3"/>
  <c r="Q135" i="3"/>
  <c r="R135" i="3"/>
  <c r="S135" i="3"/>
  <c r="T135" i="3"/>
  <c r="U135" i="3"/>
  <c r="V135" i="3"/>
  <c r="W135" i="3"/>
  <c r="X135" i="3"/>
  <c r="O136" i="3"/>
  <c r="P136" i="3"/>
  <c r="Q136" i="3"/>
  <c r="R136" i="3"/>
  <c r="S136" i="3"/>
  <c r="T136" i="3"/>
  <c r="U136" i="3"/>
  <c r="V136" i="3"/>
  <c r="W136" i="3"/>
  <c r="X136" i="3"/>
  <c r="O137" i="3"/>
  <c r="P137" i="3"/>
  <c r="Q137" i="3"/>
  <c r="R137" i="3"/>
  <c r="S137" i="3"/>
  <c r="T137" i="3"/>
  <c r="U137" i="3"/>
  <c r="V137" i="3"/>
  <c r="W137" i="3"/>
  <c r="X137" i="3"/>
  <c r="O138" i="3"/>
  <c r="P138" i="3"/>
  <c r="Q138" i="3"/>
  <c r="R138" i="3"/>
  <c r="S138" i="3"/>
  <c r="T138" i="3"/>
  <c r="U138" i="3"/>
  <c r="V138" i="3"/>
  <c r="W138" i="3"/>
  <c r="X138" i="3"/>
  <c r="O139" i="3"/>
  <c r="P139" i="3"/>
  <c r="Q139" i="3"/>
  <c r="R139" i="3"/>
  <c r="S139" i="3"/>
  <c r="T139" i="3"/>
  <c r="U139" i="3"/>
  <c r="V139" i="3"/>
  <c r="W139" i="3"/>
  <c r="X139" i="3"/>
  <c r="O140" i="3"/>
  <c r="P140" i="3"/>
  <c r="Q140" i="3"/>
  <c r="R140" i="3"/>
  <c r="S140" i="3"/>
  <c r="T140" i="3"/>
  <c r="U140" i="3"/>
  <c r="V140" i="3"/>
  <c r="W140" i="3"/>
  <c r="X140" i="3"/>
  <c r="O141" i="3"/>
  <c r="P141" i="3"/>
  <c r="Q141" i="3"/>
  <c r="R141" i="3"/>
  <c r="S141" i="3"/>
  <c r="T141" i="3"/>
  <c r="U141" i="3"/>
  <c r="V141" i="3"/>
  <c r="W141" i="3"/>
  <c r="X141" i="3"/>
  <c r="O142" i="3"/>
  <c r="P142" i="3"/>
  <c r="Q142" i="3"/>
  <c r="R142" i="3"/>
  <c r="S142" i="3"/>
  <c r="T142" i="3"/>
  <c r="U142" i="3"/>
  <c r="V142" i="3"/>
  <c r="W142" i="3"/>
  <c r="X142" i="3"/>
  <c r="O143" i="3"/>
  <c r="P143" i="3"/>
  <c r="Q143" i="3"/>
  <c r="R143" i="3"/>
  <c r="S143" i="3"/>
  <c r="T143" i="3"/>
  <c r="U143" i="3"/>
  <c r="V143" i="3"/>
  <c r="W143" i="3"/>
  <c r="X143" i="3"/>
  <c r="O144" i="3"/>
  <c r="P144" i="3"/>
  <c r="Q144" i="3"/>
  <c r="R144" i="3"/>
  <c r="S144" i="3"/>
  <c r="T144" i="3"/>
  <c r="U144" i="3"/>
  <c r="V144" i="3"/>
  <c r="W144" i="3"/>
  <c r="X144" i="3"/>
  <c r="O145" i="3"/>
  <c r="P145" i="3"/>
  <c r="Q145" i="3"/>
  <c r="R145" i="3"/>
  <c r="S145" i="3"/>
  <c r="T145" i="3"/>
  <c r="U145" i="3"/>
  <c r="V145" i="3"/>
  <c r="W145" i="3"/>
  <c r="X145" i="3"/>
  <c r="O146" i="3"/>
  <c r="P146" i="3"/>
  <c r="Q146" i="3"/>
  <c r="R146" i="3"/>
  <c r="S146" i="3"/>
  <c r="T146" i="3"/>
  <c r="U146" i="3"/>
  <c r="V146" i="3"/>
  <c r="W146" i="3"/>
  <c r="X146" i="3"/>
  <c r="O117" i="5"/>
  <c r="P117" i="5"/>
  <c r="Q117" i="5"/>
  <c r="R117" i="5"/>
  <c r="S117" i="5"/>
  <c r="T117" i="5"/>
  <c r="U117" i="5"/>
  <c r="V117" i="5"/>
  <c r="W117" i="5"/>
  <c r="X117" i="5"/>
  <c r="O118" i="5"/>
  <c r="P118" i="5"/>
  <c r="Q118" i="5"/>
  <c r="R118" i="5"/>
  <c r="S118" i="5"/>
  <c r="T118" i="5"/>
  <c r="U118" i="5"/>
  <c r="V118" i="5"/>
  <c r="W118" i="5"/>
  <c r="X118" i="5"/>
  <c r="O119" i="5"/>
  <c r="P119" i="5"/>
  <c r="Q119" i="5"/>
  <c r="R119" i="5"/>
  <c r="S119" i="5"/>
  <c r="T119" i="5"/>
  <c r="U119" i="5"/>
  <c r="V119" i="5"/>
  <c r="W119" i="5"/>
  <c r="X119" i="5"/>
  <c r="O120" i="5"/>
  <c r="P120" i="5"/>
  <c r="Q120" i="5"/>
  <c r="R120" i="5"/>
  <c r="S120" i="5"/>
  <c r="T120" i="5"/>
  <c r="U120" i="5"/>
  <c r="V120" i="5"/>
  <c r="W120" i="5"/>
  <c r="X120" i="5"/>
  <c r="O121" i="5"/>
  <c r="P121" i="5"/>
  <c r="Q121" i="5"/>
  <c r="R121" i="5"/>
  <c r="S121" i="5"/>
  <c r="T121" i="5"/>
  <c r="U121" i="5"/>
  <c r="V121" i="5"/>
  <c r="W121" i="5"/>
  <c r="X121" i="5"/>
  <c r="O122" i="5"/>
  <c r="P122" i="5"/>
  <c r="Q122" i="5"/>
  <c r="R122" i="5"/>
  <c r="S122" i="5"/>
  <c r="T122" i="5"/>
  <c r="U122" i="5"/>
  <c r="V122" i="5"/>
  <c r="W122" i="5"/>
  <c r="X122" i="5"/>
  <c r="O123" i="5"/>
  <c r="P123" i="5"/>
  <c r="Q123" i="5"/>
  <c r="R123" i="5"/>
  <c r="S123" i="5"/>
  <c r="T123" i="5"/>
  <c r="U123" i="5"/>
  <c r="V123" i="5"/>
  <c r="W123" i="5"/>
  <c r="X123" i="5"/>
  <c r="O124" i="5"/>
  <c r="P124" i="5"/>
  <c r="Q124" i="5"/>
  <c r="R124" i="5"/>
  <c r="S124" i="5"/>
  <c r="T124" i="5"/>
  <c r="U124" i="5"/>
  <c r="V124" i="5"/>
  <c r="W124" i="5"/>
  <c r="X124" i="5"/>
  <c r="O125" i="5"/>
  <c r="P125" i="5"/>
  <c r="Q125" i="5"/>
  <c r="R125" i="5"/>
  <c r="S125" i="5"/>
  <c r="T125" i="5"/>
  <c r="U125" i="5"/>
  <c r="V125" i="5"/>
  <c r="W125" i="5"/>
  <c r="X125" i="5"/>
  <c r="O126" i="5"/>
  <c r="P126" i="5"/>
  <c r="Q126" i="5"/>
  <c r="R126" i="5"/>
  <c r="S126" i="5"/>
  <c r="T126" i="5"/>
  <c r="U126" i="5"/>
  <c r="V126" i="5"/>
  <c r="W126" i="5"/>
  <c r="X126" i="5"/>
  <c r="O127" i="5"/>
  <c r="P127" i="5"/>
  <c r="Q127" i="5"/>
  <c r="R127" i="5"/>
  <c r="S127" i="5"/>
  <c r="T127" i="5"/>
  <c r="U127" i="5"/>
  <c r="V127" i="5"/>
  <c r="W127" i="5"/>
  <c r="X127" i="5"/>
  <c r="O128" i="5"/>
  <c r="P128" i="5"/>
  <c r="Q128" i="5"/>
  <c r="R128" i="5"/>
  <c r="S128" i="5"/>
  <c r="T128" i="5"/>
  <c r="U128" i="5"/>
  <c r="V128" i="5"/>
  <c r="W128" i="5"/>
  <c r="X128" i="5"/>
  <c r="O129" i="5"/>
  <c r="P129" i="5"/>
  <c r="Q129" i="5"/>
  <c r="R129" i="5"/>
  <c r="S129" i="5"/>
  <c r="T129" i="5"/>
  <c r="U129" i="5"/>
  <c r="V129" i="5"/>
  <c r="W129" i="5"/>
  <c r="X129" i="5"/>
  <c r="O130" i="5"/>
  <c r="P130" i="5"/>
  <c r="Q130" i="5"/>
  <c r="R130" i="5"/>
  <c r="S130" i="5"/>
  <c r="T130" i="5"/>
  <c r="U130" i="5"/>
  <c r="V130" i="5"/>
  <c r="W130" i="5"/>
  <c r="X130" i="5"/>
  <c r="O131" i="5"/>
  <c r="P131" i="5"/>
  <c r="Q131" i="5"/>
  <c r="R131" i="5"/>
  <c r="S131" i="5"/>
  <c r="T131" i="5"/>
  <c r="U131" i="5"/>
  <c r="V131" i="5"/>
  <c r="W131" i="5"/>
  <c r="X131" i="5"/>
  <c r="O132" i="5"/>
  <c r="P132" i="5"/>
  <c r="Q132" i="5"/>
  <c r="R132" i="5"/>
  <c r="S132" i="5"/>
  <c r="T132" i="5"/>
  <c r="U132" i="5"/>
  <c r="V132" i="5"/>
  <c r="W132" i="5"/>
  <c r="X132" i="5"/>
  <c r="O133" i="5"/>
  <c r="P133" i="5"/>
  <c r="Q133" i="5"/>
  <c r="R133" i="5"/>
  <c r="S133" i="5"/>
  <c r="T133" i="5"/>
  <c r="U133" i="5"/>
  <c r="V133" i="5"/>
  <c r="W133" i="5"/>
  <c r="X133" i="5"/>
  <c r="O134" i="5"/>
  <c r="P134" i="5"/>
  <c r="Q134" i="5"/>
  <c r="R134" i="5"/>
  <c r="S134" i="5"/>
  <c r="T134" i="5"/>
  <c r="U134" i="5"/>
  <c r="V134" i="5"/>
  <c r="W134" i="5"/>
  <c r="X134" i="5"/>
  <c r="O135" i="5"/>
  <c r="P135" i="5"/>
  <c r="Q135" i="5"/>
  <c r="R135" i="5"/>
  <c r="S135" i="5"/>
  <c r="T135" i="5"/>
  <c r="U135" i="5"/>
  <c r="V135" i="5"/>
  <c r="W135" i="5"/>
  <c r="X135" i="5"/>
  <c r="O136" i="5"/>
  <c r="P136" i="5"/>
  <c r="Q136" i="5"/>
  <c r="R136" i="5"/>
  <c r="S136" i="5"/>
  <c r="T136" i="5"/>
  <c r="U136" i="5"/>
  <c r="V136" i="5"/>
  <c r="W136" i="5"/>
  <c r="X136" i="5"/>
  <c r="O137" i="5"/>
  <c r="P137" i="5"/>
  <c r="Q137" i="5"/>
  <c r="R137" i="5"/>
  <c r="S137" i="5"/>
  <c r="T137" i="5"/>
  <c r="U137" i="5"/>
  <c r="V137" i="5"/>
  <c r="W137" i="5"/>
  <c r="X137" i="5"/>
  <c r="O138" i="5"/>
  <c r="P138" i="5"/>
  <c r="Q138" i="5"/>
  <c r="R138" i="5"/>
  <c r="S138" i="5"/>
  <c r="T138" i="5"/>
  <c r="U138" i="5"/>
  <c r="V138" i="5"/>
  <c r="W138" i="5"/>
  <c r="X138" i="5"/>
  <c r="O139" i="5"/>
  <c r="P139" i="5"/>
  <c r="Q139" i="5"/>
  <c r="R139" i="5"/>
  <c r="S139" i="5"/>
  <c r="T139" i="5"/>
  <c r="U139" i="5"/>
  <c r="V139" i="5"/>
  <c r="W139" i="5"/>
  <c r="X139" i="5"/>
  <c r="O140" i="5"/>
  <c r="P140" i="5"/>
  <c r="Q140" i="5"/>
  <c r="R140" i="5"/>
  <c r="S140" i="5"/>
  <c r="T140" i="5"/>
  <c r="U140" i="5"/>
  <c r="V140" i="5"/>
  <c r="W140" i="5"/>
  <c r="X140" i="5"/>
  <c r="O141" i="5"/>
  <c r="P141" i="5"/>
  <c r="Q141" i="5"/>
  <c r="R141" i="5"/>
  <c r="S141" i="5"/>
  <c r="T141" i="5"/>
  <c r="U141" i="5"/>
  <c r="V141" i="5"/>
  <c r="W141" i="5"/>
  <c r="X141" i="5"/>
  <c r="O142" i="5"/>
  <c r="P142" i="5"/>
  <c r="Q142" i="5"/>
  <c r="R142" i="5"/>
  <c r="S142" i="5"/>
  <c r="T142" i="5"/>
  <c r="U142" i="5"/>
  <c r="V142" i="5"/>
  <c r="W142" i="5"/>
  <c r="X142" i="5"/>
  <c r="O143" i="5"/>
  <c r="P143" i="5"/>
  <c r="Q143" i="5"/>
  <c r="R143" i="5"/>
  <c r="S143" i="5"/>
  <c r="T143" i="5"/>
  <c r="U143" i="5"/>
  <c r="V143" i="5"/>
  <c r="W143" i="5"/>
  <c r="X143" i="5"/>
  <c r="O144" i="5"/>
  <c r="P144" i="5"/>
  <c r="Q144" i="5"/>
  <c r="R144" i="5"/>
  <c r="S144" i="5"/>
  <c r="T144" i="5"/>
  <c r="U144" i="5"/>
  <c r="V144" i="5"/>
  <c r="W144" i="5"/>
  <c r="X144" i="5"/>
  <c r="O145" i="5"/>
  <c r="P145" i="5"/>
  <c r="Q145" i="5"/>
  <c r="R145" i="5"/>
  <c r="S145" i="5"/>
  <c r="T145" i="5"/>
  <c r="U145" i="5"/>
  <c r="V145" i="5"/>
  <c r="W145" i="5"/>
  <c r="X145" i="5"/>
  <c r="O146" i="5"/>
  <c r="P146" i="5"/>
  <c r="Q146" i="5"/>
  <c r="R146" i="5"/>
  <c r="S146" i="5"/>
  <c r="T146" i="5"/>
  <c r="U146" i="5"/>
  <c r="V146" i="5"/>
  <c r="W146" i="5"/>
  <c r="X146" i="5"/>
  <c r="AD144" i="5" l="1"/>
  <c r="AD136" i="5"/>
  <c r="AC145" i="5"/>
  <c r="AC141" i="5"/>
  <c r="AC133" i="5"/>
  <c r="AC125" i="5"/>
  <c r="AC117" i="5"/>
  <c r="AC137" i="5"/>
  <c r="AC129" i="5"/>
  <c r="AC121" i="5"/>
  <c r="AC144" i="5"/>
  <c r="AC140" i="5"/>
  <c r="AC136" i="5"/>
  <c r="AC132" i="5"/>
  <c r="AC128" i="5"/>
  <c r="AC124" i="5"/>
  <c r="AC120" i="5"/>
  <c r="AD128" i="5"/>
  <c r="AC139" i="5"/>
  <c r="AD131" i="5"/>
  <c r="AD123" i="5"/>
  <c r="AD143" i="5"/>
  <c r="AD135" i="5"/>
  <c r="AD127" i="5"/>
  <c r="AD119" i="5"/>
  <c r="AC146" i="5"/>
  <c r="AC142" i="5"/>
  <c r="AC138" i="5"/>
  <c r="AC134" i="5"/>
  <c r="AC130" i="5"/>
  <c r="AC126" i="5"/>
  <c r="AC122" i="5"/>
  <c r="AC118" i="5"/>
  <c r="AC143" i="5"/>
  <c r="AD140" i="5"/>
  <c r="AC135" i="5"/>
  <c r="AD132" i="5"/>
  <c r="AC127" i="5"/>
  <c r="AD124" i="5"/>
  <c r="AC119" i="5"/>
  <c r="AC131" i="5"/>
  <c r="AD145" i="5"/>
  <c r="AD137" i="5"/>
  <c r="AD129" i="5"/>
  <c r="AD121" i="5"/>
  <c r="AC123" i="5"/>
  <c r="AD142" i="5"/>
  <c r="AD134" i="5"/>
  <c r="AD126" i="5"/>
  <c r="AD118" i="5"/>
  <c r="AD139" i="5"/>
  <c r="AD120" i="5"/>
  <c r="AD141" i="5"/>
  <c r="AD133" i="5"/>
  <c r="AD125" i="5"/>
  <c r="AD117" i="5"/>
  <c r="AD146" i="5"/>
  <c r="AD138" i="5"/>
  <c r="AD130" i="5"/>
  <c r="AD12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O53" i="5"/>
  <c r="P53" i="5"/>
  <c r="Q53" i="5"/>
  <c r="R53" i="5"/>
  <c r="S53" i="5"/>
  <c r="T53" i="5"/>
  <c r="U53" i="5"/>
  <c r="V53" i="5"/>
  <c r="W53" i="5"/>
  <c r="X53" i="5"/>
  <c r="O54" i="5"/>
  <c r="P54" i="5"/>
  <c r="Q54" i="5"/>
  <c r="R54" i="5"/>
  <c r="S54" i="5"/>
  <c r="T54" i="5"/>
  <c r="U54" i="5"/>
  <c r="V54" i="5"/>
  <c r="W54" i="5"/>
  <c r="X54" i="5"/>
  <c r="O55" i="5"/>
  <c r="P55" i="5"/>
  <c r="Q55" i="5"/>
  <c r="R55" i="5"/>
  <c r="S55" i="5"/>
  <c r="T55" i="5"/>
  <c r="U55" i="5"/>
  <c r="V55" i="5"/>
  <c r="W55" i="5"/>
  <c r="X55" i="5"/>
  <c r="O56" i="5"/>
  <c r="P56" i="5"/>
  <c r="Q56" i="5"/>
  <c r="R56" i="5"/>
  <c r="S56" i="5"/>
  <c r="T56" i="5"/>
  <c r="U56" i="5"/>
  <c r="V56" i="5"/>
  <c r="W56" i="5"/>
  <c r="X56" i="5"/>
  <c r="O57" i="5"/>
  <c r="P57" i="5"/>
  <c r="Q57" i="5"/>
  <c r="R57" i="5"/>
  <c r="S57" i="5"/>
  <c r="T57" i="5"/>
  <c r="U57" i="5"/>
  <c r="V57" i="5"/>
  <c r="W57" i="5"/>
  <c r="X57" i="5"/>
  <c r="O58" i="5"/>
  <c r="P58" i="5"/>
  <c r="Q58" i="5"/>
  <c r="R58" i="5"/>
  <c r="S58" i="5"/>
  <c r="T58" i="5"/>
  <c r="U58" i="5"/>
  <c r="V58" i="5"/>
  <c r="W58" i="5"/>
  <c r="X58" i="5"/>
  <c r="O59" i="5"/>
  <c r="P59" i="5"/>
  <c r="Q59" i="5"/>
  <c r="R59" i="5"/>
  <c r="S59" i="5"/>
  <c r="T59" i="5"/>
  <c r="U59" i="5"/>
  <c r="V59" i="5"/>
  <c r="W59" i="5"/>
  <c r="X59" i="5"/>
  <c r="O60" i="5"/>
  <c r="P60" i="5"/>
  <c r="Q60" i="5"/>
  <c r="R60" i="5"/>
  <c r="S60" i="5"/>
  <c r="T60" i="5"/>
  <c r="U60" i="5"/>
  <c r="V60" i="5"/>
  <c r="W60" i="5"/>
  <c r="X60" i="5"/>
  <c r="O61" i="5"/>
  <c r="P61" i="5"/>
  <c r="Q61" i="5"/>
  <c r="R61" i="5"/>
  <c r="S61" i="5"/>
  <c r="T61" i="5"/>
  <c r="U61" i="5"/>
  <c r="V61" i="5"/>
  <c r="W61" i="5"/>
  <c r="X61" i="5"/>
  <c r="O62" i="5"/>
  <c r="P62" i="5"/>
  <c r="Q62" i="5"/>
  <c r="R62" i="5"/>
  <c r="S62" i="5"/>
  <c r="T62" i="5"/>
  <c r="U62" i="5"/>
  <c r="V62" i="5"/>
  <c r="W62" i="5"/>
  <c r="X62" i="5"/>
  <c r="O63" i="5"/>
  <c r="P63" i="5"/>
  <c r="Q63" i="5"/>
  <c r="R63" i="5"/>
  <c r="S63" i="5"/>
  <c r="T63" i="5"/>
  <c r="U63" i="5"/>
  <c r="V63" i="5"/>
  <c r="W63" i="5"/>
  <c r="X63" i="5"/>
  <c r="O64" i="5"/>
  <c r="P64" i="5"/>
  <c r="Q64" i="5"/>
  <c r="R64" i="5"/>
  <c r="S64" i="5"/>
  <c r="T64" i="5"/>
  <c r="U64" i="5"/>
  <c r="V64" i="5"/>
  <c r="W64" i="5"/>
  <c r="X64" i="5"/>
  <c r="O65" i="5"/>
  <c r="P65" i="5"/>
  <c r="Q65" i="5"/>
  <c r="R65" i="5"/>
  <c r="S65" i="5"/>
  <c r="T65" i="5"/>
  <c r="U65" i="5"/>
  <c r="V65" i="5"/>
  <c r="W65" i="5"/>
  <c r="X65" i="5"/>
  <c r="O66" i="5"/>
  <c r="P66" i="5"/>
  <c r="Q66" i="5"/>
  <c r="R66" i="5"/>
  <c r="S66" i="5"/>
  <c r="T66" i="5"/>
  <c r="U66" i="5"/>
  <c r="V66" i="5"/>
  <c r="W66" i="5"/>
  <c r="X66" i="5"/>
  <c r="O67" i="5"/>
  <c r="P67" i="5"/>
  <c r="Q67" i="5"/>
  <c r="R67" i="5"/>
  <c r="S67" i="5"/>
  <c r="T67" i="5"/>
  <c r="U67" i="5"/>
  <c r="V67" i="5"/>
  <c r="W67" i="5"/>
  <c r="X67" i="5"/>
  <c r="O68" i="5"/>
  <c r="P68" i="5"/>
  <c r="Q68" i="5"/>
  <c r="R68" i="5"/>
  <c r="S68" i="5"/>
  <c r="T68" i="5"/>
  <c r="U68" i="5"/>
  <c r="V68" i="5"/>
  <c r="W68" i="5"/>
  <c r="X68" i="5"/>
  <c r="O69" i="5"/>
  <c r="P69" i="5"/>
  <c r="Q69" i="5"/>
  <c r="R69" i="5"/>
  <c r="S69" i="5"/>
  <c r="T69" i="5"/>
  <c r="U69" i="5"/>
  <c r="V69" i="5"/>
  <c r="W69" i="5"/>
  <c r="X69" i="5"/>
  <c r="O70" i="5"/>
  <c r="P70" i="5"/>
  <c r="Q70" i="5"/>
  <c r="R70" i="5"/>
  <c r="S70" i="5"/>
  <c r="T70" i="5"/>
  <c r="U70" i="5"/>
  <c r="V70" i="5"/>
  <c r="W70" i="5"/>
  <c r="X70" i="5"/>
  <c r="O71" i="5"/>
  <c r="P71" i="5"/>
  <c r="Q71" i="5"/>
  <c r="R71" i="5"/>
  <c r="S71" i="5"/>
  <c r="T71" i="5"/>
  <c r="U71" i="5"/>
  <c r="V71" i="5"/>
  <c r="W71" i="5"/>
  <c r="X71" i="5"/>
  <c r="O72" i="5"/>
  <c r="P72" i="5"/>
  <c r="Q72" i="5"/>
  <c r="R72" i="5"/>
  <c r="S72" i="5"/>
  <c r="T72" i="5"/>
  <c r="U72" i="5"/>
  <c r="V72" i="5"/>
  <c r="W72" i="5"/>
  <c r="X72" i="5"/>
  <c r="O73" i="5"/>
  <c r="P73" i="5"/>
  <c r="Q73" i="5"/>
  <c r="R73" i="5"/>
  <c r="S73" i="5"/>
  <c r="T73" i="5"/>
  <c r="U73" i="5"/>
  <c r="V73" i="5"/>
  <c r="W73" i="5"/>
  <c r="X73" i="5"/>
  <c r="O74" i="5"/>
  <c r="P74" i="5"/>
  <c r="Q74" i="5"/>
  <c r="R74" i="5"/>
  <c r="S74" i="5"/>
  <c r="T74" i="5"/>
  <c r="U74" i="5"/>
  <c r="V74" i="5"/>
  <c r="W74" i="5"/>
  <c r="X74" i="5"/>
  <c r="O75" i="5"/>
  <c r="P75" i="5"/>
  <c r="Q75" i="5"/>
  <c r="R75" i="5"/>
  <c r="S75" i="5"/>
  <c r="T75" i="5"/>
  <c r="U75" i="5"/>
  <c r="V75" i="5"/>
  <c r="W75" i="5"/>
  <c r="X75" i="5"/>
  <c r="O76" i="5"/>
  <c r="P76" i="5"/>
  <c r="Q76" i="5"/>
  <c r="R76" i="5"/>
  <c r="S76" i="5"/>
  <c r="T76" i="5"/>
  <c r="U76" i="5"/>
  <c r="V76" i="5"/>
  <c r="W76" i="5"/>
  <c r="X76" i="5"/>
  <c r="O77" i="5"/>
  <c r="P77" i="5"/>
  <c r="Q77" i="5"/>
  <c r="R77" i="5"/>
  <c r="S77" i="5"/>
  <c r="T77" i="5"/>
  <c r="U77" i="5"/>
  <c r="V77" i="5"/>
  <c r="W77" i="5"/>
  <c r="X77" i="5"/>
  <c r="O78" i="5"/>
  <c r="P78" i="5"/>
  <c r="Q78" i="5"/>
  <c r="R78" i="5"/>
  <c r="S78" i="5"/>
  <c r="T78" i="5"/>
  <c r="U78" i="5"/>
  <c r="V78" i="5"/>
  <c r="W78" i="5"/>
  <c r="X78" i="5"/>
  <c r="O79" i="5"/>
  <c r="P79" i="5"/>
  <c r="Q79" i="5"/>
  <c r="R79" i="5"/>
  <c r="S79" i="5"/>
  <c r="T79" i="5"/>
  <c r="U79" i="5"/>
  <c r="V79" i="5"/>
  <c r="W79" i="5"/>
  <c r="X79" i="5"/>
  <c r="O80" i="5"/>
  <c r="P80" i="5"/>
  <c r="Q80" i="5"/>
  <c r="R80" i="5"/>
  <c r="S80" i="5"/>
  <c r="T80" i="5"/>
  <c r="U80" i="5"/>
  <c r="V80" i="5"/>
  <c r="W80" i="5"/>
  <c r="X80" i="5"/>
  <c r="O81" i="5"/>
  <c r="P81" i="5"/>
  <c r="Q81" i="5"/>
  <c r="R81" i="5"/>
  <c r="S81" i="5"/>
  <c r="T81" i="5"/>
  <c r="U81" i="5"/>
  <c r="V81" i="5"/>
  <c r="W81" i="5"/>
  <c r="X81" i="5"/>
  <c r="O82" i="5"/>
  <c r="P82" i="5"/>
  <c r="Q82" i="5"/>
  <c r="R82" i="5"/>
  <c r="S82" i="5"/>
  <c r="T82" i="5"/>
  <c r="U82" i="5"/>
  <c r="V82" i="5"/>
  <c r="W82" i="5"/>
  <c r="X82" i="5"/>
  <c r="O83" i="5"/>
  <c r="P83" i="5"/>
  <c r="Q83" i="5"/>
  <c r="R83" i="5"/>
  <c r="S83" i="5"/>
  <c r="T83" i="5"/>
  <c r="U83" i="5"/>
  <c r="V83" i="5"/>
  <c r="W83" i="5"/>
  <c r="X83" i="5"/>
  <c r="O84" i="5"/>
  <c r="P84" i="5"/>
  <c r="Q84" i="5"/>
  <c r="R84" i="5"/>
  <c r="S84" i="5"/>
  <c r="T84" i="5"/>
  <c r="U84" i="5"/>
  <c r="V84" i="5"/>
  <c r="W84" i="5"/>
  <c r="X84" i="5"/>
  <c r="O85" i="5"/>
  <c r="P85" i="5"/>
  <c r="Q85" i="5"/>
  <c r="R85" i="5"/>
  <c r="S85" i="5"/>
  <c r="T85" i="5"/>
  <c r="U85" i="5"/>
  <c r="V85" i="5"/>
  <c r="W85" i="5"/>
  <c r="X85" i="5"/>
  <c r="O86" i="5"/>
  <c r="P86" i="5"/>
  <c r="Q86" i="5"/>
  <c r="R86" i="5"/>
  <c r="S86" i="5"/>
  <c r="T86" i="5"/>
  <c r="U86" i="5"/>
  <c r="V86" i="5"/>
  <c r="W86" i="5"/>
  <c r="X86" i="5"/>
  <c r="O87" i="5"/>
  <c r="P87" i="5"/>
  <c r="Q87" i="5"/>
  <c r="R87" i="5"/>
  <c r="S87" i="5"/>
  <c r="T87" i="5"/>
  <c r="U87" i="5"/>
  <c r="V87" i="5"/>
  <c r="W87" i="5"/>
  <c r="X87" i="5"/>
  <c r="O88" i="5"/>
  <c r="P88" i="5"/>
  <c r="Q88" i="5"/>
  <c r="R88" i="5"/>
  <c r="S88" i="5"/>
  <c r="T88" i="5"/>
  <c r="U88" i="5"/>
  <c r="V88" i="5"/>
  <c r="W88" i="5"/>
  <c r="X88" i="5"/>
  <c r="O89" i="5"/>
  <c r="P89" i="5"/>
  <c r="Q89" i="5"/>
  <c r="R89" i="5"/>
  <c r="S89" i="5"/>
  <c r="T89" i="5"/>
  <c r="U89" i="5"/>
  <c r="V89" i="5"/>
  <c r="W89" i="5"/>
  <c r="X89" i="5"/>
  <c r="O90" i="5"/>
  <c r="P90" i="5"/>
  <c r="Q90" i="5"/>
  <c r="R90" i="5"/>
  <c r="S90" i="5"/>
  <c r="T90" i="5"/>
  <c r="U90" i="5"/>
  <c r="V90" i="5"/>
  <c r="W90" i="5"/>
  <c r="X90" i="5"/>
  <c r="O91" i="5"/>
  <c r="P91" i="5"/>
  <c r="Q91" i="5"/>
  <c r="R91" i="5"/>
  <c r="S91" i="5"/>
  <c r="T91" i="5"/>
  <c r="U91" i="5"/>
  <c r="V91" i="5"/>
  <c r="W91" i="5"/>
  <c r="X91" i="5"/>
  <c r="O92" i="5"/>
  <c r="P92" i="5"/>
  <c r="Q92" i="5"/>
  <c r="R92" i="5"/>
  <c r="S92" i="5"/>
  <c r="T92" i="5"/>
  <c r="U92" i="5"/>
  <c r="V92" i="5"/>
  <c r="W92" i="5"/>
  <c r="X92" i="5"/>
  <c r="O93" i="5"/>
  <c r="P93" i="5"/>
  <c r="Q93" i="5"/>
  <c r="R93" i="5"/>
  <c r="S93" i="5"/>
  <c r="T93" i="5"/>
  <c r="U93" i="5"/>
  <c r="V93" i="5"/>
  <c r="W93" i="5"/>
  <c r="X93" i="5"/>
  <c r="O94" i="5"/>
  <c r="P94" i="5"/>
  <c r="Q94" i="5"/>
  <c r="R94" i="5"/>
  <c r="S94" i="5"/>
  <c r="T94" i="5"/>
  <c r="U94" i="5"/>
  <c r="V94" i="5"/>
  <c r="W94" i="5"/>
  <c r="X94" i="5"/>
  <c r="O95" i="5"/>
  <c r="P95" i="5"/>
  <c r="Q95" i="5"/>
  <c r="R95" i="5"/>
  <c r="S95" i="5"/>
  <c r="T95" i="5"/>
  <c r="U95" i="5"/>
  <c r="V95" i="5"/>
  <c r="W95" i="5"/>
  <c r="X95" i="5"/>
  <c r="O96" i="5"/>
  <c r="P96" i="5"/>
  <c r="Q96" i="5"/>
  <c r="R96" i="5"/>
  <c r="S96" i="5"/>
  <c r="T96" i="5"/>
  <c r="U96" i="5"/>
  <c r="V96" i="5"/>
  <c r="W96" i="5"/>
  <c r="X96" i="5"/>
  <c r="O97" i="5"/>
  <c r="P97" i="5"/>
  <c r="Q97" i="5"/>
  <c r="R97" i="5"/>
  <c r="S97" i="5"/>
  <c r="T97" i="5"/>
  <c r="U97" i="5"/>
  <c r="V97" i="5"/>
  <c r="W97" i="5"/>
  <c r="X97" i="5"/>
  <c r="O98" i="5"/>
  <c r="P98" i="5"/>
  <c r="Q98" i="5"/>
  <c r="R98" i="5"/>
  <c r="S98" i="5"/>
  <c r="T98" i="5"/>
  <c r="U98" i="5"/>
  <c r="V98" i="5"/>
  <c r="W98" i="5"/>
  <c r="X98" i="5"/>
  <c r="O99" i="5"/>
  <c r="P99" i="5"/>
  <c r="Q99" i="5"/>
  <c r="R99" i="5"/>
  <c r="S99" i="5"/>
  <c r="T99" i="5"/>
  <c r="U99" i="5"/>
  <c r="V99" i="5"/>
  <c r="W99" i="5"/>
  <c r="X99" i="5"/>
  <c r="O100" i="5"/>
  <c r="P100" i="5"/>
  <c r="Q100" i="5"/>
  <c r="R100" i="5"/>
  <c r="S100" i="5"/>
  <c r="T100" i="5"/>
  <c r="U100" i="5"/>
  <c r="V100" i="5"/>
  <c r="W100" i="5"/>
  <c r="X100" i="5"/>
  <c r="O101" i="5"/>
  <c r="P101" i="5"/>
  <c r="Q101" i="5"/>
  <c r="R101" i="5"/>
  <c r="S101" i="5"/>
  <c r="T101" i="5"/>
  <c r="U101" i="5"/>
  <c r="V101" i="5"/>
  <c r="W101" i="5"/>
  <c r="X101" i="5"/>
  <c r="O102" i="5"/>
  <c r="P102" i="5"/>
  <c r="Q102" i="5"/>
  <c r="R102" i="5"/>
  <c r="S102" i="5"/>
  <c r="T102" i="5"/>
  <c r="U102" i="5"/>
  <c r="V102" i="5"/>
  <c r="W102" i="5"/>
  <c r="X102" i="5"/>
  <c r="O103" i="5"/>
  <c r="P103" i="5"/>
  <c r="Q103" i="5"/>
  <c r="R103" i="5"/>
  <c r="S103" i="5"/>
  <c r="T103" i="5"/>
  <c r="U103" i="5"/>
  <c r="V103" i="5"/>
  <c r="W103" i="5"/>
  <c r="X103" i="5"/>
  <c r="O104" i="5"/>
  <c r="P104" i="5"/>
  <c r="Q104" i="5"/>
  <c r="R104" i="5"/>
  <c r="S104" i="5"/>
  <c r="T104" i="5"/>
  <c r="U104" i="5"/>
  <c r="V104" i="5"/>
  <c r="W104" i="5"/>
  <c r="X104" i="5"/>
  <c r="O105" i="5"/>
  <c r="P105" i="5"/>
  <c r="Q105" i="5"/>
  <c r="R105" i="5"/>
  <c r="S105" i="5"/>
  <c r="T105" i="5"/>
  <c r="U105" i="5"/>
  <c r="V105" i="5"/>
  <c r="W105" i="5"/>
  <c r="X105" i="5"/>
  <c r="O106" i="5"/>
  <c r="P106" i="5"/>
  <c r="Q106" i="5"/>
  <c r="R106" i="5"/>
  <c r="S106" i="5"/>
  <c r="T106" i="5"/>
  <c r="U106" i="5"/>
  <c r="V106" i="5"/>
  <c r="W106" i="5"/>
  <c r="X106" i="5"/>
  <c r="O107" i="5"/>
  <c r="P107" i="5"/>
  <c r="Q107" i="5"/>
  <c r="R107" i="5"/>
  <c r="S107" i="5"/>
  <c r="T107" i="5"/>
  <c r="U107" i="5"/>
  <c r="V107" i="5"/>
  <c r="W107" i="5"/>
  <c r="X107" i="5"/>
  <c r="O108" i="5"/>
  <c r="P108" i="5"/>
  <c r="Q108" i="5"/>
  <c r="R108" i="5"/>
  <c r="S108" i="5"/>
  <c r="T108" i="5"/>
  <c r="U108" i="5"/>
  <c r="V108" i="5"/>
  <c r="W108" i="5"/>
  <c r="X108" i="5"/>
  <c r="O109" i="5"/>
  <c r="P109" i="5"/>
  <c r="Q109" i="5"/>
  <c r="R109" i="5"/>
  <c r="S109" i="5"/>
  <c r="T109" i="5"/>
  <c r="U109" i="5"/>
  <c r="V109" i="5"/>
  <c r="W109" i="5"/>
  <c r="X109" i="5"/>
  <c r="O110" i="5"/>
  <c r="P110" i="5"/>
  <c r="Q110" i="5"/>
  <c r="R110" i="5"/>
  <c r="S110" i="5"/>
  <c r="T110" i="5"/>
  <c r="U110" i="5"/>
  <c r="V110" i="5"/>
  <c r="W110" i="5"/>
  <c r="X110" i="5"/>
  <c r="O111" i="5"/>
  <c r="P111" i="5"/>
  <c r="Q111" i="5"/>
  <c r="R111" i="5"/>
  <c r="S111" i="5"/>
  <c r="T111" i="5"/>
  <c r="U111" i="5"/>
  <c r="V111" i="5"/>
  <c r="W111" i="5"/>
  <c r="X111" i="5"/>
  <c r="O112" i="5"/>
  <c r="P112" i="5"/>
  <c r="Q112" i="5"/>
  <c r="R112" i="5"/>
  <c r="S112" i="5"/>
  <c r="T112" i="5"/>
  <c r="U112" i="5"/>
  <c r="V112" i="5"/>
  <c r="W112" i="5"/>
  <c r="X112" i="5"/>
  <c r="O113" i="5"/>
  <c r="P113" i="5"/>
  <c r="Q113" i="5"/>
  <c r="R113" i="5"/>
  <c r="S113" i="5"/>
  <c r="T113" i="5"/>
  <c r="U113" i="5"/>
  <c r="V113" i="5"/>
  <c r="W113" i="5"/>
  <c r="X113" i="5"/>
  <c r="O114" i="5"/>
  <c r="P114" i="5"/>
  <c r="Q114" i="5"/>
  <c r="R114" i="5"/>
  <c r="S114" i="5"/>
  <c r="T114" i="5"/>
  <c r="U114" i="5"/>
  <c r="V114" i="5"/>
  <c r="W114" i="5"/>
  <c r="X114" i="5"/>
  <c r="O115" i="5"/>
  <c r="P115" i="5"/>
  <c r="Q115" i="5"/>
  <c r="R115" i="5"/>
  <c r="S115" i="5"/>
  <c r="T115" i="5"/>
  <c r="U115" i="5"/>
  <c r="V115" i="5"/>
  <c r="W115" i="5"/>
  <c r="X115" i="5"/>
  <c r="O116" i="5"/>
  <c r="P116" i="5"/>
  <c r="Q116" i="5"/>
  <c r="R116" i="5"/>
  <c r="S116" i="5"/>
  <c r="T116" i="5"/>
  <c r="U116" i="5"/>
  <c r="V116" i="5"/>
  <c r="W116" i="5"/>
  <c r="X116" i="5"/>
  <c r="AA127" i="3"/>
  <c r="AA126" i="3"/>
  <c r="AA125" i="3"/>
  <c r="AA124" i="3"/>
  <c r="AA123" i="3"/>
  <c r="AA122" i="3"/>
  <c r="AA121" i="3"/>
  <c r="AA120" i="3"/>
  <c r="AA119" i="3"/>
  <c r="AA118" i="3"/>
  <c r="AA117" i="3"/>
  <c r="O98" i="3"/>
  <c r="P98" i="3"/>
  <c r="Q98" i="3"/>
  <c r="R98" i="3"/>
  <c r="S98" i="3"/>
  <c r="T98" i="3"/>
  <c r="U98" i="3"/>
  <c r="V98" i="3"/>
  <c r="W98" i="3"/>
  <c r="X98" i="3"/>
  <c r="O99" i="3"/>
  <c r="P99" i="3"/>
  <c r="Q99" i="3"/>
  <c r="R99" i="3"/>
  <c r="S99" i="3"/>
  <c r="T99" i="3"/>
  <c r="U99" i="3"/>
  <c r="V99" i="3"/>
  <c r="W99" i="3"/>
  <c r="X99" i="3"/>
  <c r="O100" i="3"/>
  <c r="P100" i="3"/>
  <c r="Q100" i="3"/>
  <c r="R100" i="3"/>
  <c r="S100" i="3"/>
  <c r="T100" i="3"/>
  <c r="U100" i="3"/>
  <c r="V100" i="3"/>
  <c r="W100" i="3"/>
  <c r="X100" i="3"/>
  <c r="O101" i="3"/>
  <c r="P101" i="3"/>
  <c r="Q101" i="3"/>
  <c r="R101" i="3"/>
  <c r="S101" i="3"/>
  <c r="T101" i="3"/>
  <c r="U101" i="3"/>
  <c r="V101" i="3"/>
  <c r="W101" i="3"/>
  <c r="X101" i="3"/>
  <c r="O102" i="3"/>
  <c r="P102" i="3"/>
  <c r="Q102" i="3"/>
  <c r="R102" i="3"/>
  <c r="S102" i="3"/>
  <c r="T102" i="3"/>
  <c r="U102" i="3"/>
  <c r="V102" i="3"/>
  <c r="W102" i="3"/>
  <c r="X102" i="3"/>
  <c r="O103" i="3"/>
  <c r="P103" i="3"/>
  <c r="Q103" i="3"/>
  <c r="R103" i="3"/>
  <c r="S103" i="3"/>
  <c r="T103" i="3"/>
  <c r="U103" i="3"/>
  <c r="V103" i="3"/>
  <c r="W103" i="3"/>
  <c r="X103" i="3"/>
  <c r="O104" i="3"/>
  <c r="P104" i="3"/>
  <c r="Q104" i="3"/>
  <c r="R104" i="3"/>
  <c r="S104" i="3"/>
  <c r="T104" i="3"/>
  <c r="U104" i="3"/>
  <c r="V104" i="3"/>
  <c r="W104" i="3"/>
  <c r="X104" i="3"/>
  <c r="O105" i="3"/>
  <c r="P105" i="3"/>
  <c r="Q105" i="3"/>
  <c r="R105" i="3"/>
  <c r="S105" i="3"/>
  <c r="T105" i="3"/>
  <c r="U105" i="3"/>
  <c r="V105" i="3"/>
  <c r="W105" i="3"/>
  <c r="X105" i="3"/>
  <c r="O106" i="3"/>
  <c r="P106" i="3"/>
  <c r="Q106" i="3"/>
  <c r="R106" i="3"/>
  <c r="S106" i="3"/>
  <c r="T106" i="3"/>
  <c r="U106" i="3"/>
  <c r="V106" i="3"/>
  <c r="W106" i="3"/>
  <c r="X106" i="3"/>
  <c r="O107" i="3"/>
  <c r="P107" i="3"/>
  <c r="Q107" i="3"/>
  <c r="R107" i="3"/>
  <c r="S107" i="3"/>
  <c r="T107" i="3"/>
  <c r="U107" i="3"/>
  <c r="V107" i="3"/>
  <c r="W107" i="3"/>
  <c r="X107" i="3"/>
  <c r="O108" i="3"/>
  <c r="P108" i="3"/>
  <c r="Q108" i="3"/>
  <c r="R108" i="3"/>
  <c r="S108" i="3"/>
  <c r="T108" i="3"/>
  <c r="U108" i="3"/>
  <c r="V108" i="3"/>
  <c r="W108" i="3"/>
  <c r="X108" i="3"/>
  <c r="O109" i="3"/>
  <c r="P109" i="3"/>
  <c r="Q109" i="3"/>
  <c r="R109" i="3"/>
  <c r="S109" i="3"/>
  <c r="T109" i="3"/>
  <c r="U109" i="3"/>
  <c r="V109" i="3"/>
  <c r="W109" i="3"/>
  <c r="X109" i="3"/>
  <c r="O110" i="3"/>
  <c r="P110" i="3"/>
  <c r="Q110" i="3"/>
  <c r="R110" i="3"/>
  <c r="S110" i="3"/>
  <c r="T110" i="3"/>
  <c r="U110" i="3"/>
  <c r="V110" i="3"/>
  <c r="W110" i="3"/>
  <c r="X110" i="3"/>
  <c r="O111" i="3"/>
  <c r="P111" i="3"/>
  <c r="Q111" i="3"/>
  <c r="R111" i="3"/>
  <c r="S111" i="3"/>
  <c r="T111" i="3"/>
  <c r="U111" i="3"/>
  <c r="V111" i="3"/>
  <c r="W111" i="3"/>
  <c r="X111" i="3"/>
  <c r="O112" i="3"/>
  <c r="P112" i="3"/>
  <c r="Q112" i="3"/>
  <c r="R112" i="3"/>
  <c r="S112" i="3"/>
  <c r="T112" i="3"/>
  <c r="U112" i="3"/>
  <c r="V112" i="3"/>
  <c r="W112" i="3"/>
  <c r="X112" i="3"/>
  <c r="O113" i="3"/>
  <c r="P113" i="3"/>
  <c r="Q113" i="3"/>
  <c r="R113" i="3"/>
  <c r="S113" i="3"/>
  <c r="T113" i="3"/>
  <c r="U113" i="3"/>
  <c r="V113" i="3"/>
  <c r="W113" i="3"/>
  <c r="X113" i="3"/>
  <c r="O114" i="3"/>
  <c r="P114" i="3"/>
  <c r="Q114" i="3"/>
  <c r="R114" i="3"/>
  <c r="S114" i="3"/>
  <c r="T114" i="3"/>
  <c r="U114" i="3"/>
  <c r="V114" i="3"/>
  <c r="W114" i="3"/>
  <c r="X114" i="3"/>
  <c r="O115" i="3"/>
  <c r="P115" i="3"/>
  <c r="Q115" i="3"/>
  <c r="R115" i="3"/>
  <c r="S115" i="3"/>
  <c r="T115" i="3"/>
  <c r="U115" i="3"/>
  <c r="V115" i="3"/>
  <c r="W115" i="3"/>
  <c r="X115" i="3"/>
  <c r="O116" i="3"/>
  <c r="P116" i="3"/>
  <c r="Q116" i="3"/>
  <c r="R116" i="3"/>
  <c r="S116" i="3"/>
  <c r="T116" i="3"/>
  <c r="U116" i="3"/>
  <c r="V116" i="3"/>
  <c r="W116" i="3"/>
  <c r="X116" i="3"/>
  <c r="O56" i="3"/>
  <c r="P56" i="3"/>
  <c r="Q56" i="3"/>
  <c r="R56" i="3"/>
  <c r="S56" i="3"/>
  <c r="T56" i="3"/>
  <c r="U56" i="3"/>
  <c r="V56" i="3"/>
  <c r="W56" i="3"/>
  <c r="X56" i="3"/>
  <c r="O57" i="3"/>
  <c r="P57" i="3"/>
  <c r="Q57" i="3"/>
  <c r="R57" i="3"/>
  <c r="S57" i="3"/>
  <c r="T57" i="3"/>
  <c r="U57" i="3"/>
  <c r="V57" i="3"/>
  <c r="W57" i="3"/>
  <c r="X57" i="3"/>
  <c r="O58" i="3"/>
  <c r="P58" i="3"/>
  <c r="Q58" i="3"/>
  <c r="R58" i="3"/>
  <c r="S58" i="3"/>
  <c r="T58" i="3"/>
  <c r="U58" i="3"/>
  <c r="V58" i="3"/>
  <c r="W58" i="3"/>
  <c r="X58" i="3"/>
  <c r="O59" i="3"/>
  <c r="P59" i="3"/>
  <c r="Q59" i="3"/>
  <c r="R59" i="3"/>
  <c r="S59" i="3"/>
  <c r="T59" i="3"/>
  <c r="U59" i="3"/>
  <c r="V59" i="3"/>
  <c r="W59" i="3"/>
  <c r="X59" i="3"/>
  <c r="O60" i="3"/>
  <c r="P60" i="3"/>
  <c r="Q60" i="3"/>
  <c r="R60" i="3"/>
  <c r="S60" i="3"/>
  <c r="T60" i="3"/>
  <c r="U60" i="3"/>
  <c r="V60" i="3"/>
  <c r="W60" i="3"/>
  <c r="X60" i="3"/>
  <c r="O61" i="3"/>
  <c r="P61" i="3"/>
  <c r="Q61" i="3"/>
  <c r="R61" i="3"/>
  <c r="S61" i="3"/>
  <c r="T61" i="3"/>
  <c r="U61" i="3"/>
  <c r="V61" i="3"/>
  <c r="W61" i="3"/>
  <c r="X61" i="3"/>
  <c r="O62" i="3"/>
  <c r="P62" i="3"/>
  <c r="Q62" i="3"/>
  <c r="R62" i="3"/>
  <c r="S62" i="3"/>
  <c r="T62" i="3"/>
  <c r="U62" i="3"/>
  <c r="V62" i="3"/>
  <c r="W62" i="3"/>
  <c r="X62" i="3"/>
  <c r="O63" i="3"/>
  <c r="P63" i="3"/>
  <c r="Q63" i="3"/>
  <c r="R63" i="3"/>
  <c r="S63" i="3"/>
  <c r="T63" i="3"/>
  <c r="U63" i="3"/>
  <c r="V63" i="3"/>
  <c r="W63" i="3"/>
  <c r="X63" i="3"/>
  <c r="O64" i="3"/>
  <c r="P64" i="3"/>
  <c r="Q64" i="3"/>
  <c r="R64" i="3"/>
  <c r="S64" i="3"/>
  <c r="T64" i="3"/>
  <c r="U64" i="3"/>
  <c r="V64" i="3"/>
  <c r="W64" i="3"/>
  <c r="X64" i="3"/>
  <c r="O65" i="3"/>
  <c r="P65" i="3"/>
  <c r="Q65" i="3"/>
  <c r="R65" i="3"/>
  <c r="S65" i="3"/>
  <c r="T65" i="3"/>
  <c r="U65" i="3"/>
  <c r="V65" i="3"/>
  <c r="W65" i="3"/>
  <c r="X65" i="3"/>
  <c r="O66" i="3"/>
  <c r="P66" i="3"/>
  <c r="Q66" i="3"/>
  <c r="R66" i="3"/>
  <c r="S66" i="3"/>
  <c r="T66" i="3"/>
  <c r="U66" i="3"/>
  <c r="V66" i="3"/>
  <c r="W66" i="3"/>
  <c r="X66" i="3"/>
  <c r="O67" i="3"/>
  <c r="P67" i="3"/>
  <c r="Q67" i="3"/>
  <c r="R67" i="3"/>
  <c r="S67" i="3"/>
  <c r="T67" i="3"/>
  <c r="U67" i="3"/>
  <c r="V67" i="3"/>
  <c r="W67" i="3"/>
  <c r="X67" i="3"/>
  <c r="O68" i="3"/>
  <c r="P68" i="3"/>
  <c r="Q68" i="3"/>
  <c r="R68" i="3"/>
  <c r="S68" i="3"/>
  <c r="T68" i="3"/>
  <c r="U68" i="3"/>
  <c r="V68" i="3"/>
  <c r="W68" i="3"/>
  <c r="X68" i="3"/>
  <c r="O69" i="3"/>
  <c r="P69" i="3"/>
  <c r="Q69" i="3"/>
  <c r="R69" i="3"/>
  <c r="S69" i="3"/>
  <c r="T69" i="3"/>
  <c r="U69" i="3"/>
  <c r="V69" i="3"/>
  <c r="W69" i="3"/>
  <c r="X69" i="3"/>
  <c r="O70" i="3"/>
  <c r="P70" i="3"/>
  <c r="Q70" i="3"/>
  <c r="R70" i="3"/>
  <c r="S70" i="3"/>
  <c r="T70" i="3"/>
  <c r="U70" i="3"/>
  <c r="V70" i="3"/>
  <c r="W70" i="3"/>
  <c r="X70" i="3"/>
  <c r="O71" i="3"/>
  <c r="P71" i="3"/>
  <c r="Q71" i="3"/>
  <c r="R71" i="3"/>
  <c r="S71" i="3"/>
  <c r="T71" i="3"/>
  <c r="U71" i="3"/>
  <c r="V71" i="3"/>
  <c r="W71" i="3"/>
  <c r="X71" i="3"/>
  <c r="O72" i="3"/>
  <c r="P72" i="3"/>
  <c r="Q72" i="3"/>
  <c r="R72" i="3"/>
  <c r="S72" i="3"/>
  <c r="T72" i="3"/>
  <c r="U72" i="3"/>
  <c r="V72" i="3"/>
  <c r="W72" i="3"/>
  <c r="X72" i="3"/>
  <c r="O73" i="3"/>
  <c r="P73" i="3"/>
  <c r="Q73" i="3"/>
  <c r="R73" i="3"/>
  <c r="S73" i="3"/>
  <c r="T73" i="3"/>
  <c r="U73" i="3"/>
  <c r="V73" i="3"/>
  <c r="W73" i="3"/>
  <c r="X73" i="3"/>
  <c r="O74" i="3"/>
  <c r="P74" i="3"/>
  <c r="Q74" i="3"/>
  <c r="R74" i="3"/>
  <c r="S74" i="3"/>
  <c r="T74" i="3"/>
  <c r="U74" i="3"/>
  <c r="V74" i="3"/>
  <c r="W74" i="3"/>
  <c r="X74" i="3"/>
  <c r="O75" i="3"/>
  <c r="P75" i="3"/>
  <c r="Q75" i="3"/>
  <c r="R75" i="3"/>
  <c r="S75" i="3"/>
  <c r="T75" i="3"/>
  <c r="U75" i="3"/>
  <c r="V75" i="3"/>
  <c r="W75" i="3"/>
  <c r="X75" i="3"/>
  <c r="O76" i="3"/>
  <c r="P76" i="3"/>
  <c r="Q76" i="3"/>
  <c r="R76" i="3"/>
  <c r="S76" i="3"/>
  <c r="T76" i="3"/>
  <c r="U76" i="3"/>
  <c r="V76" i="3"/>
  <c r="W76" i="3"/>
  <c r="X76" i="3"/>
  <c r="O77" i="3"/>
  <c r="P77" i="3"/>
  <c r="Q77" i="3"/>
  <c r="R77" i="3"/>
  <c r="S77" i="3"/>
  <c r="T77" i="3"/>
  <c r="U77" i="3"/>
  <c r="V77" i="3"/>
  <c r="W77" i="3"/>
  <c r="X77" i="3"/>
  <c r="O78" i="3"/>
  <c r="P78" i="3"/>
  <c r="Q78" i="3"/>
  <c r="R78" i="3"/>
  <c r="S78" i="3"/>
  <c r="T78" i="3"/>
  <c r="U78" i="3"/>
  <c r="V78" i="3"/>
  <c r="W78" i="3"/>
  <c r="X78" i="3"/>
  <c r="O79" i="3"/>
  <c r="P79" i="3"/>
  <c r="Q79" i="3"/>
  <c r="R79" i="3"/>
  <c r="S79" i="3"/>
  <c r="T79" i="3"/>
  <c r="U79" i="3"/>
  <c r="V79" i="3"/>
  <c r="W79" i="3"/>
  <c r="X79" i="3"/>
  <c r="O80" i="3"/>
  <c r="P80" i="3"/>
  <c r="Q80" i="3"/>
  <c r="R80" i="3"/>
  <c r="S80" i="3"/>
  <c r="T80" i="3"/>
  <c r="U80" i="3"/>
  <c r="V80" i="3"/>
  <c r="W80" i="3"/>
  <c r="X80" i="3"/>
  <c r="O81" i="3"/>
  <c r="P81" i="3"/>
  <c r="Q81" i="3"/>
  <c r="R81" i="3"/>
  <c r="S81" i="3"/>
  <c r="T81" i="3"/>
  <c r="U81" i="3"/>
  <c r="V81" i="3"/>
  <c r="W81" i="3"/>
  <c r="X81" i="3"/>
  <c r="O82" i="3"/>
  <c r="P82" i="3"/>
  <c r="Q82" i="3"/>
  <c r="R82" i="3"/>
  <c r="S82" i="3"/>
  <c r="T82" i="3"/>
  <c r="U82" i="3"/>
  <c r="V82" i="3"/>
  <c r="W82" i="3"/>
  <c r="X82" i="3"/>
  <c r="O83" i="3"/>
  <c r="P83" i="3"/>
  <c r="Q83" i="3"/>
  <c r="R83" i="3"/>
  <c r="S83" i="3"/>
  <c r="T83" i="3"/>
  <c r="U83" i="3"/>
  <c r="V83" i="3"/>
  <c r="W83" i="3"/>
  <c r="X83" i="3"/>
  <c r="O84" i="3"/>
  <c r="P84" i="3"/>
  <c r="Q84" i="3"/>
  <c r="R84" i="3"/>
  <c r="S84" i="3"/>
  <c r="T84" i="3"/>
  <c r="U84" i="3"/>
  <c r="V84" i="3"/>
  <c r="W84" i="3"/>
  <c r="X84" i="3"/>
  <c r="O85" i="3"/>
  <c r="P85" i="3"/>
  <c r="Q85" i="3"/>
  <c r="R85" i="3"/>
  <c r="S85" i="3"/>
  <c r="T85" i="3"/>
  <c r="U85" i="3"/>
  <c r="V85" i="3"/>
  <c r="W85" i="3"/>
  <c r="X85" i="3"/>
  <c r="O86" i="3"/>
  <c r="P86" i="3"/>
  <c r="Q86" i="3"/>
  <c r="R86" i="3"/>
  <c r="S86" i="3"/>
  <c r="T86" i="3"/>
  <c r="U86" i="3"/>
  <c r="V86" i="3"/>
  <c r="W86" i="3"/>
  <c r="X86" i="3"/>
  <c r="O87" i="3"/>
  <c r="P87" i="3"/>
  <c r="Q87" i="3"/>
  <c r="R87" i="3"/>
  <c r="S87" i="3"/>
  <c r="T87" i="3"/>
  <c r="U87" i="3"/>
  <c r="V87" i="3"/>
  <c r="W87" i="3"/>
  <c r="X87" i="3"/>
  <c r="O88" i="3"/>
  <c r="P88" i="3"/>
  <c r="Q88" i="3"/>
  <c r="R88" i="3"/>
  <c r="S88" i="3"/>
  <c r="T88" i="3"/>
  <c r="U88" i="3"/>
  <c r="V88" i="3"/>
  <c r="W88" i="3"/>
  <c r="X88" i="3"/>
  <c r="O89" i="3"/>
  <c r="P89" i="3"/>
  <c r="Q89" i="3"/>
  <c r="R89" i="3"/>
  <c r="S89" i="3"/>
  <c r="T89" i="3"/>
  <c r="U89" i="3"/>
  <c r="V89" i="3"/>
  <c r="W89" i="3"/>
  <c r="X89" i="3"/>
  <c r="O90" i="3"/>
  <c r="P90" i="3"/>
  <c r="Q90" i="3"/>
  <c r="R90" i="3"/>
  <c r="S90" i="3"/>
  <c r="T90" i="3"/>
  <c r="U90" i="3"/>
  <c r="V90" i="3"/>
  <c r="W90" i="3"/>
  <c r="X90" i="3"/>
  <c r="O91" i="3"/>
  <c r="P91" i="3"/>
  <c r="Q91" i="3"/>
  <c r="R91" i="3"/>
  <c r="S91" i="3"/>
  <c r="T91" i="3"/>
  <c r="U91" i="3"/>
  <c r="V91" i="3"/>
  <c r="W91" i="3"/>
  <c r="X91" i="3"/>
  <c r="O92" i="3"/>
  <c r="P92" i="3"/>
  <c r="Q92" i="3"/>
  <c r="R92" i="3"/>
  <c r="S92" i="3"/>
  <c r="T92" i="3"/>
  <c r="U92" i="3"/>
  <c r="V92" i="3"/>
  <c r="W92" i="3"/>
  <c r="X92" i="3"/>
  <c r="O93" i="3"/>
  <c r="P93" i="3"/>
  <c r="Q93" i="3"/>
  <c r="R93" i="3"/>
  <c r="S93" i="3"/>
  <c r="T93" i="3"/>
  <c r="U93" i="3"/>
  <c r="V93" i="3"/>
  <c r="W93" i="3"/>
  <c r="X93" i="3"/>
  <c r="O94" i="3"/>
  <c r="P94" i="3"/>
  <c r="Q94" i="3"/>
  <c r="R94" i="3"/>
  <c r="S94" i="3"/>
  <c r="T94" i="3"/>
  <c r="U94" i="3"/>
  <c r="V94" i="3"/>
  <c r="W94" i="3"/>
  <c r="X94" i="3"/>
  <c r="O95" i="3"/>
  <c r="P95" i="3"/>
  <c r="Q95" i="3"/>
  <c r="R95" i="3"/>
  <c r="S95" i="3"/>
  <c r="T95" i="3"/>
  <c r="U95" i="3"/>
  <c r="V95" i="3"/>
  <c r="W95" i="3"/>
  <c r="X95" i="3"/>
  <c r="O96" i="3"/>
  <c r="P96" i="3"/>
  <c r="Q96" i="3"/>
  <c r="R96" i="3"/>
  <c r="S96" i="3"/>
  <c r="T96" i="3"/>
  <c r="U96" i="3"/>
  <c r="V96" i="3"/>
  <c r="W96" i="3"/>
  <c r="X96" i="3"/>
  <c r="O97" i="3"/>
  <c r="P97" i="3"/>
  <c r="Q97" i="3"/>
  <c r="R97" i="3"/>
  <c r="S97" i="3"/>
  <c r="T97" i="3"/>
  <c r="U97" i="3"/>
  <c r="V97" i="3"/>
  <c r="W97" i="3"/>
  <c r="X97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97" i="3"/>
  <c r="AA102" i="3"/>
  <c r="AA101" i="3"/>
  <c r="AA100" i="3"/>
  <c r="AA99" i="3"/>
  <c r="AA98" i="3"/>
  <c r="AA96" i="3"/>
  <c r="AA95" i="3"/>
  <c r="AA94" i="3"/>
  <c r="AA93" i="3"/>
  <c r="AA92" i="3"/>
  <c r="AA91" i="3"/>
  <c r="AA90" i="3"/>
  <c r="AA89" i="3"/>
  <c r="AA88" i="3"/>
  <c r="AA87" i="3"/>
  <c r="AA86" i="3"/>
  <c r="AA85" i="3"/>
  <c r="AA84" i="3"/>
  <c r="AA83" i="3"/>
  <c r="AA82" i="3"/>
  <c r="AA81" i="3"/>
  <c r="AA80" i="3"/>
  <c r="AA79" i="3"/>
  <c r="AA78" i="3"/>
  <c r="AA77" i="3"/>
  <c r="AA76" i="3"/>
  <c r="AA75" i="3"/>
  <c r="AA74" i="3"/>
  <c r="AA73" i="3"/>
  <c r="AA72" i="3"/>
  <c r="AA71" i="3"/>
  <c r="AA70" i="3"/>
  <c r="AA69" i="3"/>
  <c r="AA68" i="3"/>
  <c r="AA67" i="3"/>
  <c r="AD115" i="5" l="1"/>
  <c r="AC110" i="5"/>
  <c r="AD107" i="5"/>
  <c r="AD103" i="5"/>
  <c r="AC98" i="5"/>
  <c r="AC94" i="5"/>
  <c r="AC90" i="5"/>
  <c r="AC86" i="5"/>
  <c r="AC82" i="5"/>
  <c r="AD79" i="5"/>
  <c r="AC78" i="5"/>
  <c r="AD75" i="5"/>
  <c r="AC74" i="5"/>
  <c r="AD71" i="5"/>
  <c r="AC70" i="5"/>
  <c r="AD67" i="5"/>
  <c r="AC66" i="5"/>
  <c r="AD63" i="5"/>
  <c r="AC62" i="5"/>
  <c r="AD59" i="5"/>
  <c r="AC58" i="5"/>
  <c r="AD55" i="5"/>
  <c r="AC54" i="5"/>
  <c r="AC114" i="5"/>
  <c r="AD111" i="5"/>
  <c r="AC106" i="5"/>
  <c r="AC102" i="5"/>
  <c r="AD99" i="5"/>
  <c r="AD95" i="5"/>
  <c r="AD91" i="5"/>
  <c r="AD87" i="5"/>
  <c r="AD83" i="5"/>
  <c r="AD109" i="5"/>
  <c r="AD105" i="5"/>
  <c r="AD97" i="5"/>
  <c r="AD89" i="5"/>
  <c r="AD85" i="5"/>
  <c r="AD81" i="5"/>
  <c r="AD77" i="5"/>
  <c r="AD73" i="5"/>
  <c r="AD69" i="5"/>
  <c r="AD65" i="5"/>
  <c r="AD61" i="5"/>
  <c r="AD57" i="5"/>
  <c r="AD53" i="5"/>
  <c r="AD113" i="5"/>
  <c r="AD101" i="5"/>
  <c r="AD93" i="5"/>
  <c r="AC116" i="5"/>
  <c r="AC112" i="5"/>
  <c r="AD114" i="5"/>
  <c r="AD110" i="5"/>
  <c r="AD106" i="5"/>
  <c r="AD102" i="5"/>
  <c r="AD98" i="5"/>
  <c r="AD94" i="5"/>
  <c r="AD90" i="5"/>
  <c r="AD86" i="5"/>
  <c r="AD82" i="5"/>
  <c r="AD78" i="5"/>
  <c r="AD74" i="5"/>
  <c r="AD70" i="5"/>
  <c r="AD66" i="5"/>
  <c r="AD62" i="5"/>
  <c r="AD58" i="5"/>
  <c r="AD54" i="5"/>
  <c r="AC113" i="5"/>
  <c r="AC109" i="5"/>
  <c r="AC105" i="5"/>
  <c r="AC101" i="5"/>
  <c r="AC97" i="5"/>
  <c r="AC93" i="5"/>
  <c r="AC89" i="5"/>
  <c r="AC85" i="5"/>
  <c r="AC81" i="5"/>
  <c r="AC77" i="5"/>
  <c r="AC73" i="5"/>
  <c r="AC69" i="5"/>
  <c r="AC65" i="5"/>
  <c r="AC61" i="5"/>
  <c r="AC57" i="5"/>
  <c r="AC53" i="5"/>
  <c r="AC115" i="5"/>
  <c r="AC111" i="5"/>
  <c r="AC108" i="5"/>
  <c r="AC107" i="5"/>
  <c r="AC104" i="5"/>
  <c r="AC103" i="5"/>
  <c r="AC100" i="5"/>
  <c r="AC99" i="5"/>
  <c r="AC96" i="5"/>
  <c r="AC95" i="5"/>
  <c r="AC92" i="5"/>
  <c r="AC91" i="5"/>
  <c r="AC88" i="5"/>
  <c r="AC87" i="5"/>
  <c r="AC84" i="5"/>
  <c r="AC83" i="5"/>
  <c r="AC80" i="5"/>
  <c r="AC79" i="5"/>
  <c r="AC76" i="5"/>
  <c r="AC75" i="5"/>
  <c r="AC72" i="5"/>
  <c r="AC71" i="5"/>
  <c r="AC68" i="5"/>
  <c r="AC67" i="5"/>
  <c r="AC64" i="5"/>
  <c r="AC63" i="5"/>
  <c r="AC60" i="5"/>
  <c r="AC59" i="5"/>
  <c r="AC56" i="5"/>
  <c r="AC55" i="5"/>
  <c r="AD116" i="5"/>
  <c r="AD112" i="5"/>
  <c r="AD108" i="5"/>
  <c r="AD104" i="5"/>
  <c r="AD100" i="5"/>
  <c r="AD96" i="5"/>
  <c r="AD92" i="5"/>
  <c r="AD88" i="5"/>
  <c r="AD84" i="5"/>
  <c r="AD80" i="5"/>
  <c r="AD76" i="5"/>
  <c r="AD72" i="5"/>
  <c r="AD68" i="5"/>
  <c r="AD64" i="5"/>
  <c r="AD60" i="5"/>
  <c r="AD56" i="5"/>
  <c r="AA66" i="3"/>
  <c r="AA65" i="3"/>
  <c r="AA64" i="3"/>
  <c r="AA63" i="3"/>
  <c r="AA62" i="3"/>
  <c r="AA61" i="3"/>
  <c r="AA60" i="3"/>
  <c r="AA59" i="3"/>
  <c r="AA58" i="3"/>
  <c r="AA57" i="3"/>
  <c r="AA56" i="3"/>
  <c r="O53" i="3"/>
  <c r="P53" i="3"/>
  <c r="Q53" i="3"/>
  <c r="R53" i="3"/>
  <c r="S53" i="3"/>
  <c r="T53" i="3"/>
  <c r="U53" i="3"/>
  <c r="V53" i="3"/>
  <c r="W53" i="3"/>
  <c r="X53" i="3"/>
  <c r="O54" i="3"/>
  <c r="P54" i="3"/>
  <c r="Q54" i="3"/>
  <c r="R54" i="3"/>
  <c r="S54" i="3"/>
  <c r="T54" i="3"/>
  <c r="U54" i="3"/>
  <c r="V54" i="3"/>
  <c r="W54" i="3"/>
  <c r="X54" i="3"/>
  <c r="O55" i="3"/>
  <c r="P55" i="3"/>
  <c r="Q55" i="3"/>
  <c r="R55" i="3"/>
  <c r="S55" i="3"/>
  <c r="T55" i="3"/>
  <c r="U55" i="3"/>
  <c r="V55" i="3"/>
  <c r="W55" i="3"/>
  <c r="X55" i="3"/>
  <c r="AA53" i="3"/>
  <c r="AA55" i="3"/>
  <c r="AA54" i="3"/>
  <c r="AA52" i="3" l="1"/>
  <c r="X52" i="3"/>
  <c r="W52" i="3"/>
  <c r="V52" i="3"/>
  <c r="U52" i="3"/>
  <c r="T52" i="3"/>
  <c r="S52" i="3"/>
  <c r="R52" i="3"/>
  <c r="Q52" i="3"/>
  <c r="P52" i="3"/>
  <c r="O52" i="3"/>
  <c r="AA51" i="3"/>
  <c r="X51" i="3"/>
  <c r="W51" i="3"/>
  <c r="V51" i="3"/>
  <c r="U51" i="3"/>
  <c r="T51" i="3"/>
  <c r="S51" i="3"/>
  <c r="R51" i="3"/>
  <c r="Q51" i="3"/>
  <c r="P51" i="3"/>
  <c r="O51" i="3"/>
  <c r="AA50" i="3"/>
  <c r="X50" i="3"/>
  <c r="W50" i="3"/>
  <c r="V50" i="3"/>
  <c r="U50" i="3"/>
  <c r="T50" i="3"/>
  <c r="S50" i="3"/>
  <c r="R50" i="3"/>
  <c r="Q50" i="3"/>
  <c r="P50" i="3"/>
  <c r="O50" i="3"/>
  <c r="AA49" i="3"/>
  <c r="X49" i="3"/>
  <c r="W49" i="3"/>
  <c r="V49" i="3"/>
  <c r="U49" i="3"/>
  <c r="T49" i="3"/>
  <c r="S49" i="3"/>
  <c r="R49" i="3"/>
  <c r="Q49" i="3"/>
  <c r="P49" i="3"/>
  <c r="O49" i="3"/>
  <c r="AA48" i="3"/>
  <c r="X48" i="3"/>
  <c r="W48" i="3"/>
  <c r="V48" i="3"/>
  <c r="U48" i="3"/>
  <c r="T48" i="3"/>
  <c r="S48" i="3"/>
  <c r="R48" i="3"/>
  <c r="Q48" i="3"/>
  <c r="P48" i="3"/>
  <c r="O48" i="3"/>
  <c r="AA47" i="3"/>
  <c r="X47" i="3"/>
  <c r="W47" i="3"/>
  <c r="V47" i="3"/>
  <c r="U47" i="3"/>
  <c r="T47" i="3"/>
  <c r="S47" i="3"/>
  <c r="R47" i="3"/>
  <c r="Q47" i="3"/>
  <c r="P47" i="3"/>
  <c r="O47" i="3"/>
  <c r="AA46" i="3"/>
  <c r="X46" i="3"/>
  <c r="W46" i="3"/>
  <c r="V46" i="3"/>
  <c r="U46" i="3"/>
  <c r="T46" i="3"/>
  <c r="S46" i="3"/>
  <c r="R46" i="3"/>
  <c r="Q46" i="3"/>
  <c r="P46" i="3"/>
  <c r="O46" i="3"/>
  <c r="AA45" i="3"/>
  <c r="X45" i="3"/>
  <c r="W45" i="3"/>
  <c r="V45" i="3"/>
  <c r="U45" i="3"/>
  <c r="T45" i="3"/>
  <c r="S45" i="3"/>
  <c r="R45" i="3"/>
  <c r="Q45" i="3"/>
  <c r="P45" i="3"/>
  <c r="O45" i="3"/>
  <c r="AA44" i="3"/>
  <c r="X44" i="3"/>
  <c r="W44" i="3"/>
  <c r="V44" i="3"/>
  <c r="U44" i="3"/>
  <c r="T44" i="3"/>
  <c r="S44" i="3"/>
  <c r="R44" i="3"/>
  <c r="Q44" i="3"/>
  <c r="P44" i="3"/>
  <c r="O44" i="3"/>
  <c r="AA43" i="3"/>
  <c r="X43" i="3"/>
  <c r="W43" i="3"/>
  <c r="V43" i="3"/>
  <c r="U43" i="3"/>
  <c r="T43" i="3"/>
  <c r="S43" i="3"/>
  <c r="R43" i="3"/>
  <c r="Q43" i="3"/>
  <c r="P43" i="3"/>
  <c r="O43" i="3"/>
  <c r="AA42" i="3"/>
  <c r="X42" i="3"/>
  <c r="W42" i="3"/>
  <c r="V42" i="3"/>
  <c r="U42" i="3"/>
  <c r="T42" i="3"/>
  <c r="S42" i="3"/>
  <c r="R42" i="3"/>
  <c r="Q42" i="3"/>
  <c r="P42" i="3"/>
  <c r="O42" i="3"/>
  <c r="O42" i="5"/>
  <c r="P42" i="5"/>
  <c r="Q42" i="5"/>
  <c r="R42" i="5"/>
  <c r="S42" i="5"/>
  <c r="T42" i="5"/>
  <c r="U42" i="5"/>
  <c r="V42" i="5"/>
  <c r="W42" i="5"/>
  <c r="X42" i="5"/>
  <c r="O43" i="5"/>
  <c r="P43" i="5"/>
  <c r="Q43" i="5"/>
  <c r="R43" i="5"/>
  <c r="S43" i="5"/>
  <c r="T43" i="5"/>
  <c r="U43" i="5"/>
  <c r="V43" i="5"/>
  <c r="W43" i="5"/>
  <c r="X43" i="5"/>
  <c r="O44" i="5"/>
  <c r="P44" i="5"/>
  <c r="Q44" i="5"/>
  <c r="R44" i="5"/>
  <c r="S44" i="5"/>
  <c r="T44" i="5"/>
  <c r="U44" i="5"/>
  <c r="V44" i="5"/>
  <c r="W44" i="5"/>
  <c r="X44" i="5"/>
  <c r="O45" i="5"/>
  <c r="P45" i="5"/>
  <c r="Q45" i="5"/>
  <c r="R45" i="5"/>
  <c r="S45" i="5"/>
  <c r="T45" i="5"/>
  <c r="U45" i="5"/>
  <c r="V45" i="5"/>
  <c r="W45" i="5"/>
  <c r="X45" i="5"/>
  <c r="O46" i="5"/>
  <c r="P46" i="5"/>
  <c r="Q46" i="5"/>
  <c r="R46" i="5"/>
  <c r="S46" i="5"/>
  <c r="T46" i="5"/>
  <c r="U46" i="5"/>
  <c r="V46" i="5"/>
  <c r="W46" i="5"/>
  <c r="X46" i="5"/>
  <c r="O47" i="5"/>
  <c r="P47" i="5"/>
  <c r="Q47" i="5"/>
  <c r="R47" i="5"/>
  <c r="S47" i="5"/>
  <c r="T47" i="5"/>
  <c r="U47" i="5"/>
  <c r="V47" i="5"/>
  <c r="W47" i="5"/>
  <c r="X47" i="5"/>
  <c r="O48" i="5"/>
  <c r="P48" i="5"/>
  <c r="Q48" i="5"/>
  <c r="R48" i="5"/>
  <c r="S48" i="5"/>
  <c r="T48" i="5"/>
  <c r="U48" i="5"/>
  <c r="V48" i="5"/>
  <c r="W48" i="5"/>
  <c r="X48" i="5"/>
  <c r="O49" i="5"/>
  <c r="P49" i="5"/>
  <c r="Q49" i="5"/>
  <c r="R49" i="5"/>
  <c r="S49" i="5"/>
  <c r="T49" i="5"/>
  <c r="U49" i="5"/>
  <c r="V49" i="5"/>
  <c r="W49" i="5"/>
  <c r="X49" i="5"/>
  <c r="O50" i="5"/>
  <c r="P50" i="5"/>
  <c r="Q50" i="5"/>
  <c r="R50" i="5"/>
  <c r="S50" i="5"/>
  <c r="T50" i="5"/>
  <c r="U50" i="5"/>
  <c r="V50" i="5"/>
  <c r="W50" i="5"/>
  <c r="X50" i="5"/>
  <c r="O51" i="5"/>
  <c r="P51" i="5"/>
  <c r="Q51" i="5"/>
  <c r="R51" i="5"/>
  <c r="S51" i="5"/>
  <c r="T51" i="5"/>
  <c r="U51" i="5"/>
  <c r="V51" i="5"/>
  <c r="W51" i="5"/>
  <c r="X51" i="5"/>
  <c r="O52" i="5"/>
  <c r="P52" i="5"/>
  <c r="Q52" i="5"/>
  <c r="R52" i="5"/>
  <c r="S52" i="5"/>
  <c r="T52" i="5"/>
  <c r="U52" i="5"/>
  <c r="V52" i="5"/>
  <c r="W52" i="5"/>
  <c r="X52" i="5"/>
  <c r="AD46" i="5" l="1"/>
  <c r="AC46" i="5"/>
  <c r="AC45" i="5"/>
  <c r="AD45" i="5"/>
  <c r="AD50" i="5"/>
  <c r="AC50" i="5"/>
  <c r="AD42" i="5"/>
  <c r="AC42" i="5"/>
  <c r="AC48" i="5"/>
  <c r="AD48" i="5"/>
  <c r="AC44" i="5"/>
  <c r="AD44" i="5"/>
  <c r="AC52" i="5"/>
  <c r="AD52" i="5"/>
  <c r="AC49" i="5"/>
  <c r="AD49" i="5"/>
  <c r="AD51" i="5"/>
  <c r="AC51" i="5"/>
  <c r="AD47" i="5"/>
  <c r="AC47" i="5"/>
  <c r="AD43" i="5"/>
  <c r="AC43" i="5"/>
  <c r="X41" i="3"/>
  <c r="W41" i="3"/>
  <c r="V41" i="3"/>
  <c r="U41" i="3"/>
  <c r="T41" i="3"/>
  <c r="S41" i="3"/>
  <c r="R41" i="3"/>
  <c r="Q41" i="3"/>
  <c r="P41" i="3"/>
  <c r="O41" i="3"/>
  <c r="X40" i="3"/>
  <c r="W40" i="3"/>
  <c r="V40" i="3"/>
  <c r="U40" i="3"/>
  <c r="T40" i="3"/>
  <c r="S40" i="3"/>
  <c r="R40" i="3"/>
  <c r="Q40" i="3"/>
  <c r="P40" i="3"/>
  <c r="O40" i="3"/>
  <c r="X39" i="3"/>
  <c r="W39" i="3"/>
  <c r="V39" i="3"/>
  <c r="U39" i="3"/>
  <c r="T39" i="3"/>
  <c r="S39" i="3"/>
  <c r="R39" i="3"/>
  <c r="Q39" i="3"/>
  <c r="P39" i="3"/>
  <c r="O39" i="3"/>
  <c r="X38" i="3"/>
  <c r="W38" i="3"/>
  <c r="V38" i="3"/>
  <c r="U38" i="3"/>
  <c r="T38" i="3"/>
  <c r="S38" i="3"/>
  <c r="R38" i="3"/>
  <c r="Q38" i="3"/>
  <c r="P38" i="3"/>
  <c r="O38" i="3"/>
  <c r="X37" i="3"/>
  <c r="W37" i="3"/>
  <c r="V37" i="3"/>
  <c r="U37" i="3"/>
  <c r="T37" i="3"/>
  <c r="S37" i="3"/>
  <c r="R37" i="3"/>
  <c r="Q37" i="3"/>
  <c r="P37" i="3"/>
  <c r="O37" i="3"/>
  <c r="AB52" i="5"/>
  <c r="AB51" i="5"/>
  <c r="AB50" i="5"/>
  <c r="AB49" i="5"/>
  <c r="AB48" i="5"/>
  <c r="AB47" i="5"/>
  <c r="AB46" i="5"/>
  <c r="AB45" i="5"/>
  <c r="AB44" i="5"/>
  <c r="AB43" i="5"/>
  <c r="AB42" i="5"/>
  <c r="O37" i="5"/>
  <c r="P37" i="5"/>
  <c r="Q37" i="5"/>
  <c r="R37" i="5"/>
  <c r="S37" i="5"/>
  <c r="T37" i="5"/>
  <c r="U37" i="5"/>
  <c r="V37" i="5"/>
  <c r="W37" i="5"/>
  <c r="X37" i="5"/>
  <c r="O38" i="5"/>
  <c r="P38" i="5"/>
  <c r="Q38" i="5"/>
  <c r="R38" i="5"/>
  <c r="S38" i="5"/>
  <c r="T38" i="5"/>
  <c r="U38" i="5"/>
  <c r="V38" i="5"/>
  <c r="W38" i="5"/>
  <c r="X38" i="5"/>
  <c r="O39" i="5"/>
  <c r="P39" i="5"/>
  <c r="Q39" i="5"/>
  <c r="R39" i="5"/>
  <c r="S39" i="5"/>
  <c r="T39" i="5"/>
  <c r="U39" i="5"/>
  <c r="V39" i="5"/>
  <c r="W39" i="5"/>
  <c r="X39" i="5"/>
  <c r="O40" i="5"/>
  <c r="P40" i="5"/>
  <c r="Q40" i="5"/>
  <c r="R40" i="5"/>
  <c r="S40" i="5"/>
  <c r="T40" i="5"/>
  <c r="U40" i="5"/>
  <c r="V40" i="5"/>
  <c r="W40" i="5"/>
  <c r="X40" i="5"/>
  <c r="O41" i="5"/>
  <c r="P41" i="5"/>
  <c r="Q41" i="5"/>
  <c r="R41" i="5"/>
  <c r="S41" i="5"/>
  <c r="T41" i="5"/>
  <c r="U41" i="5"/>
  <c r="V41" i="5"/>
  <c r="W41" i="5"/>
  <c r="X41" i="5"/>
  <c r="AC37" i="5" l="1"/>
  <c r="AD37" i="5"/>
  <c r="AC38" i="5"/>
  <c r="AD38" i="5"/>
  <c r="AC39" i="5"/>
  <c r="AD39" i="5"/>
  <c r="AC40" i="5"/>
  <c r="AD40" i="5"/>
  <c r="AC41" i="5"/>
  <c r="AD41" i="5"/>
  <c r="AB41" i="5" l="1"/>
  <c r="AB40" i="5"/>
  <c r="AB39" i="5"/>
  <c r="AB38" i="5"/>
  <c r="AB37" i="5"/>
  <c r="AB36" i="5"/>
  <c r="X36" i="5"/>
  <c r="W36" i="5"/>
  <c r="V36" i="5"/>
  <c r="U36" i="5"/>
  <c r="T36" i="5"/>
  <c r="S36" i="5"/>
  <c r="R36" i="5"/>
  <c r="Q36" i="5"/>
  <c r="P36" i="5"/>
  <c r="O36" i="5"/>
  <c r="AB35" i="5"/>
  <c r="X35" i="5"/>
  <c r="W35" i="5"/>
  <c r="V35" i="5"/>
  <c r="U35" i="5"/>
  <c r="T35" i="5"/>
  <c r="S35" i="5"/>
  <c r="R35" i="5"/>
  <c r="Q35" i="5"/>
  <c r="P35" i="5"/>
  <c r="O35" i="5"/>
  <c r="AB34" i="5"/>
  <c r="X34" i="5"/>
  <c r="W34" i="5"/>
  <c r="V34" i="5"/>
  <c r="U34" i="5"/>
  <c r="T34" i="5"/>
  <c r="S34" i="5"/>
  <c r="R34" i="5"/>
  <c r="Q34" i="5"/>
  <c r="P34" i="5"/>
  <c r="O34" i="5"/>
  <c r="AB33" i="5"/>
  <c r="X33" i="5"/>
  <c r="W33" i="5"/>
  <c r="V33" i="5"/>
  <c r="U33" i="5"/>
  <c r="T33" i="5"/>
  <c r="S33" i="5"/>
  <c r="R33" i="5"/>
  <c r="Q33" i="5"/>
  <c r="P33" i="5"/>
  <c r="O33" i="5"/>
  <c r="AB32" i="5"/>
  <c r="X32" i="5"/>
  <c r="W32" i="5"/>
  <c r="V32" i="5"/>
  <c r="U32" i="5"/>
  <c r="T32" i="5"/>
  <c r="S32" i="5"/>
  <c r="R32" i="5"/>
  <c r="Q32" i="5"/>
  <c r="P32" i="5"/>
  <c r="O32" i="5"/>
  <c r="AB31" i="5"/>
  <c r="X31" i="5"/>
  <c r="W31" i="5"/>
  <c r="V31" i="5"/>
  <c r="U31" i="5"/>
  <c r="T31" i="5"/>
  <c r="S31" i="5"/>
  <c r="R31" i="5"/>
  <c r="Q31" i="5"/>
  <c r="P31" i="5"/>
  <c r="O31" i="5"/>
  <c r="AB30" i="5"/>
  <c r="X30" i="5"/>
  <c r="W30" i="5"/>
  <c r="V30" i="5"/>
  <c r="U30" i="5"/>
  <c r="T30" i="5"/>
  <c r="S30" i="5"/>
  <c r="R30" i="5"/>
  <c r="Q30" i="5"/>
  <c r="P30" i="5"/>
  <c r="O30" i="5"/>
  <c r="AB29" i="5"/>
  <c r="X29" i="5"/>
  <c r="W29" i="5"/>
  <c r="V29" i="5"/>
  <c r="U29" i="5"/>
  <c r="T29" i="5"/>
  <c r="S29" i="5"/>
  <c r="R29" i="5"/>
  <c r="Q29" i="5"/>
  <c r="P29" i="5"/>
  <c r="O29" i="5"/>
  <c r="AB28" i="5"/>
  <c r="X28" i="5"/>
  <c r="W28" i="5"/>
  <c r="V28" i="5"/>
  <c r="U28" i="5"/>
  <c r="T28" i="5"/>
  <c r="S28" i="5"/>
  <c r="R28" i="5"/>
  <c r="Q28" i="5"/>
  <c r="P28" i="5"/>
  <c r="O28" i="5"/>
  <c r="AB27" i="5"/>
  <c r="X27" i="5"/>
  <c r="W27" i="5"/>
  <c r="V27" i="5"/>
  <c r="U27" i="5"/>
  <c r="T27" i="5"/>
  <c r="S27" i="5"/>
  <c r="R27" i="5"/>
  <c r="Q27" i="5"/>
  <c r="P27" i="5"/>
  <c r="O27" i="5"/>
  <c r="AB26" i="5"/>
  <c r="X26" i="5"/>
  <c r="W26" i="5"/>
  <c r="V26" i="5"/>
  <c r="U26" i="5"/>
  <c r="T26" i="5"/>
  <c r="S26" i="5"/>
  <c r="R26" i="5"/>
  <c r="Q26" i="5"/>
  <c r="P26" i="5"/>
  <c r="O26" i="5"/>
  <c r="AB25" i="5"/>
  <c r="X25" i="5"/>
  <c r="W25" i="5"/>
  <c r="V25" i="5"/>
  <c r="U25" i="5"/>
  <c r="T25" i="5"/>
  <c r="S25" i="5"/>
  <c r="R25" i="5"/>
  <c r="Q25" i="5"/>
  <c r="P25" i="5"/>
  <c r="O25" i="5"/>
  <c r="AB24" i="5"/>
  <c r="X24" i="5"/>
  <c r="W24" i="5"/>
  <c r="V24" i="5"/>
  <c r="U24" i="5"/>
  <c r="T24" i="5"/>
  <c r="S24" i="5"/>
  <c r="R24" i="5"/>
  <c r="Q24" i="5"/>
  <c r="P24" i="5"/>
  <c r="O24" i="5"/>
  <c r="AB23" i="5"/>
  <c r="X23" i="5"/>
  <c r="W23" i="5"/>
  <c r="V23" i="5"/>
  <c r="U23" i="5"/>
  <c r="T23" i="5"/>
  <c r="S23" i="5"/>
  <c r="R23" i="5"/>
  <c r="Q23" i="5"/>
  <c r="P23" i="5"/>
  <c r="O23" i="5"/>
  <c r="AB22" i="5"/>
  <c r="X22" i="5"/>
  <c r="W22" i="5"/>
  <c r="V22" i="5"/>
  <c r="U22" i="5"/>
  <c r="T22" i="5"/>
  <c r="S22" i="5"/>
  <c r="R22" i="5"/>
  <c r="Q22" i="5"/>
  <c r="P22" i="5"/>
  <c r="O22" i="5"/>
  <c r="AB21" i="5"/>
  <c r="X21" i="5"/>
  <c r="W21" i="5"/>
  <c r="V21" i="5"/>
  <c r="U21" i="5"/>
  <c r="T21" i="5"/>
  <c r="S21" i="5"/>
  <c r="R21" i="5"/>
  <c r="Q21" i="5"/>
  <c r="P21" i="5"/>
  <c r="O21" i="5"/>
  <c r="AB20" i="5"/>
  <c r="X20" i="5"/>
  <c r="W20" i="5"/>
  <c r="V20" i="5"/>
  <c r="U20" i="5"/>
  <c r="T20" i="5"/>
  <c r="S20" i="5"/>
  <c r="R20" i="5"/>
  <c r="Q20" i="5"/>
  <c r="P20" i="5"/>
  <c r="O20" i="5"/>
  <c r="AB19" i="5"/>
  <c r="X19" i="5"/>
  <c r="W19" i="5"/>
  <c r="V19" i="5"/>
  <c r="U19" i="5"/>
  <c r="T19" i="5"/>
  <c r="S19" i="5"/>
  <c r="R19" i="5"/>
  <c r="Q19" i="5"/>
  <c r="P19" i="5"/>
  <c r="O19" i="5"/>
  <c r="AB18" i="5"/>
  <c r="X18" i="5"/>
  <c r="W18" i="5"/>
  <c r="V18" i="5"/>
  <c r="U18" i="5"/>
  <c r="T18" i="5"/>
  <c r="S18" i="5"/>
  <c r="R18" i="5"/>
  <c r="Q18" i="5"/>
  <c r="P18" i="5"/>
  <c r="O18" i="5"/>
  <c r="AB17" i="5"/>
  <c r="X17" i="5"/>
  <c r="W17" i="5"/>
  <c r="V17" i="5"/>
  <c r="U17" i="5"/>
  <c r="T17" i="5"/>
  <c r="S17" i="5"/>
  <c r="R17" i="5"/>
  <c r="Q17" i="5"/>
  <c r="P17" i="5"/>
  <c r="O17" i="5"/>
  <c r="AB16" i="5"/>
  <c r="X16" i="5"/>
  <c r="W16" i="5"/>
  <c r="V16" i="5"/>
  <c r="U16" i="5"/>
  <c r="T16" i="5"/>
  <c r="S16" i="5"/>
  <c r="R16" i="5"/>
  <c r="Q16" i="5"/>
  <c r="P16" i="5"/>
  <c r="O16" i="5"/>
  <c r="AB15" i="5"/>
  <c r="X15" i="5"/>
  <c r="W15" i="5"/>
  <c r="V15" i="5"/>
  <c r="U15" i="5"/>
  <c r="T15" i="5"/>
  <c r="S15" i="5"/>
  <c r="R15" i="5"/>
  <c r="Q15" i="5"/>
  <c r="P15" i="5"/>
  <c r="O15" i="5"/>
  <c r="AB14" i="5"/>
  <c r="X14" i="5"/>
  <c r="W14" i="5"/>
  <c r="V14" i="5"/>
  <c r="U14" i="5"/>
  <c r="T14" i="5"/>
  <c r="S14" i="5"/>
  <c r="R14" i="5"/>
  <c r="Q14" i="5"/>
  <c r="P14" i="5"/>
  <c r="O14" i="5"/>
  <c r="AB13" i="5"/>
  <c r="X13" i="5"/>
  <c r="W13" i="5"/>
  <c r="V13" i="5"/>
  <c r="U13" i="5"/>
  <c r="T13" i="5"/>
  <c r="S13" i="5"/>
  <c r="R13" i="5"/>
  <c r="Q13" i="5"/>
  <c r="P13" i="5"/>
  <c r="O13" i="5"/>
  <c r="AB12" i="5"/>
  <c r="X12" i="5"/>
  <c r="W12" i="5"/>
  <c r="V12" i="5"/>
  <c r="U12" i="5"/>
  <c r="T12" i="5"/>
  <c r="S12" i="5"/>
  <c r="R12" i="5"/>
  <c r="Q12" i="5"/>
  <c r="P12" i="5"/>
  <c r="O12" i="5"/>
  <c r="AB11" i="5"/>
  <c r="X11" i="5"/>
  <c r="W11" i="5"/>
  <c r="V11" i="5"/>
  <c r="U11" i="5"/>
  <c r="T11" i="5"/>
  <c r="S11" i="5"/>
  <c r="R11" i="5"/>
  <c r="Q11" i="5"/>
  <c r="P11" i="5"/>
  <c r="O11" i="5"/>
  <c r="AB10" i="5"/>
  <c r="X10" i="5"/>
  <c r="W10" i="5"/>
  <c r="V10" i="5"/>
  <c r="U10" i="5"/>
  <c r="T10" i="5"/>
  <c r="S10" i="5"/>
  <c r="R10" i="5"/>
  <c r="Q10" i="5"/>
  <c r="P10" i="5"/>
  <c r="O10" i="5"/>
  <c r="AB9" i="5"/>
  <c r="X9" i="5"/>
  <c r="W9" i="5"/>
  <c r="V9" i="5"/>
  <c r="U9" i="5"/>
  <c r="T9" i="5"/>
  <c r="S9" i="5"/>
  <c r="R9" i="5"/>
  <c r="Q9" i="5"/>
  <c r="P9" i="5"/>
  <c r="O9" i="5"/>
  <c r="AB8" i="5"/>
  <c r="X8" i="5"/>
  <c r="W8" i="5"/>
  <c r="V8" i="5"/>
  <c r="U8" i="5"/>
  <c r="T8" i="5"/>
  <c r="S8" i="5"/>
  <c r="R8" i="5"/>
  <c r="Q8" i="5"/>
  <c r="P8" i="5"/>
  <c r="O8" i="5"/>
  <c r="AB7" i="5"/>
  <c r="X7" i="5"/>
  <c r="W7" i="5"/>
  <c r="V7" i="5"/>
  <c r="U7" i="5"/>
  <c r="T7" i="5"/>
  <c r="S7" i="5"/>
  <c r="R7" i="5"/>
  <c r="Q7" i="5"/>
  <c r="P7" i="5"/>
  <c r="O7" i="5"/>
  <c r="AB6" i="5"/>
  <c r="X6" i="5"/>
  <c r="W6" i="5"/>
  <c r="V6" i="5"/>
  <c r="U6" i="5"/>
  <c r="T6" i="5"/>
  <c r="S6" i="5"/>
  <c r="R6" i="5"/>
  <c r="Q6" i="5"/>
  <c r="P6" i="5"/>
  <c r="O6" i="5"/>
  <c r="AB5" i="5"/>
  <c r="X5" i="5"/>
  <c r="W5" i="5"/>
  <c r="V5" i="5"/>
  <c r="U5" i="5"/>
  <c r="T5" i="5"/>
  <c r="S5" i="5"/>
  <c r="R5" i="5"/>
  <c r="Q5" i="5"/>
  <c r="P5" i="5"/>
  <c r="O5" i="5"/>
  <c r="AB4" i="5"/>
  <c r="X4" i="5"/>
  <c r="W4" i="5"/>
  <c r="V4" i="5"/>
  <c r="U4" i="5"/>
  <c r="T4" i="5"/>
  <c r="S4" i="5"/>
  <c r="R4" i="5"/>
  <c r="Q4" i="5"/>
  <c r="P4" i="5"/>
  <c r="O4" i="5"/>
  <c r="AB3" i="5"/>
  <c r="X3" i="5"/>
  <c r="W3" i="5"/>
  <c r="V3" i="5"/>
  <c r="U3" i="5"/>
  <c r="T3" i="5"/>
  <c r="S3" i="5"/>
  <c r="R3" i="5"/>
  <c r="Q3" i="5"/>
  <c r="P3" i="5"/>
  <c r="O3" i="5"/>
  <c r="AB2" i="5"/>
  <c r="X2" i="5"/>
  <c r="W2" i="5"/>
  <c r="V2" i="5"/>
  <c r="U2" i="5"/>
  <c r="T2" i="5"/>
  <c r="S2" i="5"/>
  <c r="R2" i="5"/>
  <c r="Q2" i="5"/>
  <c r="P2" i="5"/>
  <c r="O2" i="5"/>
  <c r="AC4" i="5" l="1"/>
  <c r="AD4" i="5"/>
  <c r="AD2" i="5"/>
  <c r="AC2" i="5"/>
  <c r="AC6" i="5"/>
  <c r="AD6" i="5"/>
  <c r="AC14" i="5"/>
  <c r="AD14" i="5"/>
  <c r="AC18" i="5"/>
  <c r="AD18" i="5"/>
  <c r="AC22" i="5"/>
  <c r="AD22" i="5"/>
  <c r="AC26" i="5"/>
  <c r="AD26" i="5"/>
  <c r="AC30" i="5"/>
  <c r="AD30" i="5"/>
  <c r="AC34" i="5"/>
  <c r="AD34" i="5"/>
  <c r="AC8" i="5"/>
  <c r="AD8" i="5"/>
  <c r="AC10" i="5"/>
  <c r="AD10" i="5"/>
  <c r="AC5" i="5"/>
  <c r="AD5" i="5"/>
  <c r="AC9" i="5"/>
  <c r="AD9" i="5"/>
  <c r="AC13" i="5"/>
  <c r="AD13" i="5"/>
  <c r="AC17" i="5"/>
  <c r="AD17" i="5"/>
  <c r="AC21" i="5"/>
  <c r="AD21" i="5"/>
  <c r="AC25" i="5"/>
  <c r="AD25" i="5"/>
  <c r="AC29" i="5"/>
  <c r="AD29" i="5"/>
  <c r="AC33" i="5"/>
  <c r="AD33" i="5"/>
  <c r="AC20" i="5"/>
  <c r="AD20" i="5"/>
  <c r="AC24" i="5"/>
  <c r="AD24" i="5"/>
  <c r="AC28" i="5"/>
  <c r="AD28" i="5"/>
  <c r="AC32" i="5"/>
  <c r="AD32" i="5"/>
  <c r="AC36" i="5"/>
  <c r="AD36" i="5"/>
  <c r="AC12" i="5"/>
  <c r="AD12" i="5"/>
  <c r="AC16" i="5"/>
  <c r="AD16" i="5"/>
  <c r="AC3" i="5"/>
  <c r="AD3" i="5"/>
  <c r="AC7" i="5"/>
  <c r="AD7" i="5"/>
  <c r="AC11" i="5"/>
  <c r="AD11" i="5"/>
  <c r="AC15" i="5"/>
  <c r="AD15" i="5"/>
  <c r="AC19" i="5"/>
  <c r="AD19" i="5"/>
  <c r="AC23" i="5"/>
  <c r="AD23" i="5"/>
  <c r="AC27" i="5"/>
  <c r="AD27" i="5"/>
  <c r="AC31" i="5"/>
  <c r="AD31" i="5"/>
  <c r="AC35" i="5"/>
  <c r="AD35" i="5"/>
  <c r="O27" i="3"/>
  <c r="P27" i="3"/>
  <c r="Q27" i="3"/>
  <c r="R27" i="3"/>
  <c r="S27" i="3"/>
  <c r="T27" i="3"/>
  <c r="U27" i="3"/>
  <c r="V27" i="3"/>
  <c r="W27" i="3"/>
  <c r="X27" i="3"/>
  <c r="O28" i="3"/>
  <c r="P28" i="3"/>
  <c r="Q28" i="3"/>
  <c r="R28" i="3"/>
  <c r="S28" i="3"/>
  <c r="T28" i="3"/>
  <c r="U28" i="3"/>
  <c r="V28" i="3"/>
  <c r="W28" i="3"/>
  <c r="X28" i="3"/>
  <c r="O29" i="3"/>
  <c r="P29" i="3"/>
  <c r="Q29" i="3"/>
  <c r="R29" i="3"/>
  <c r="S29" i="3"/>
  <c r="T29" i="3"/>
  <c r="U29" i="3"/>
  <c r="V29" i="3"/>
  <c r="W29" i="3"/>
  <c r="X29" i="3"/>
  <c r="O30" i="3"/>
  <c r="P30" i="3"/>
  <c r="Q30" i="3"/>
  <c r="R30" i="3"/>
  <c r="S30" i="3"/>
  <c r="T30" i="3"/>
  <c r="U30" i="3"/>
  <c r="V30" i="3"/>
  <c r="W30" i="3"/>
  <c r="X30" i="3"/>
  <c r="O31" i="3"/>
  <c r="P31" i="3"/>
  <c r="Q31" i="3"/>
  <c r="R31" i="3"/>
  <c r="S31" i="3"/>
  <c r="T31" i="3"/>
  <c r="U31" i="3"/>
  <c r="V31" i="3"/>
  <c r="W31" i="3"/>
  <c r="X31" i="3"/>
  <c r="O32" i="3"/>
  <c r="P32" i="3"/>
  <c r="Q32" i="3"/>
  <c r="R32" i="3"/>
  <c r="S32" i="3"/>
  <c r="T32" i="3"/>
  <c r="U32" i="3"/>
  <c r="V32" i="3"/>
  <c r="W32" i="3"/>
  <c r="X32" i="3"/>
  <c r="O33" i="3"/>
  <c r="P33" i="3"/>
  <c r="Q33" i="3"/>
  <c r="R33" i="3"/>
  <c r="S33" i="3"/>
  <c r="T33" i="3"/>
  <c r="U33" i="3"/>
  <c r="V33" i="3"/>
  <c r="W33" i="3"/>
  <c r="X33" i="3"/>
  <c r="O34" i="3"/>
  <c r="P34" i="3"/>
  <c r="Q34" i="3"/>
  <c r="R34" i="3"/>
  <c r="S34" i="3"/>
  <c r="T34" i="3"/>
  <c r="U34" i="3"/>
  <c r="V34" i="3"/>
  <c r="W34" i="3"/>
  <c r="X34" i="3"/>
  <c r="O35" i="3"/>
  <c r="P35" i="3"/>
  <c r="Q35" i="3"/>
  <c r="R35" i="3"/>
  <c r="S35" i="3"/>
  <c r="T35" i="3"/>
  <c r="U35" i="3"/>
  <c r="V35" i="3"/>
  <c r="W35" i="3"/>
  <c r="X35" i="3"/>
  <c r="O36" i="3"/>
  <c r="P36" i="3"/>
  <c r="Q36" i="3"/>
  <c r="R36" i="3"/>
  <c r="S36" i="3"/>
  <c r="T36" i="3"/>
  <c r="U36" i="3"/>
  <c r="V36" i="3"/>
  <c r="W36" i="3"/>
  <c r="X36" i="3"/>
  <c r="AD1" i="5" l="1"/>
  <c r="AC1" i="5"/>
  <c r="AA36" i="3"/>
  <c r="AA35" i="3"/>
  <c r="AA34" i="3"/>
  <c r="AA33" i="3"/>
  <c r="AA32" i="3"/>
  <c r="AA31" i="3"/>
  <c r="AA30" i="3"/>
  <c r="AA29" i="3"/>
  <c r="AA28" i="3"/>
  <c r="AA27" i="3"/>
  <c r="O18" i="3"/>
  <c r="P18" i="3"/>
  <c r="Q18" i="3"/>
  <c r="R18" i="3"/>
  <c r="S18" i="3"/>
  <c r="T18" i="3"/>
  <c r="U18" i="3"/>
  <c r="V18" i="3"/>
  <c r="W18" i="3"/>
  <c r="X18" i="3"/>
  <c r="O19" i="3"/>
  <c r="P19" i="3"/>
  <c r="Q19" i="3"/>
  <c r="R19" i="3"/>
  <c r="S19" i="3"/>
  <c r="T19" i="3"/>
  <c r="U19" i="3"/>
  <c r="V19" i="3"/>
  <c r="W19" i="3"/>
  <c r="X19" i="3"/>
  <c r="O20" i="3"/>
  <c r="P20" i="3"/>
  <c r="Q20" i="3"/>
  <c r="R20" i="3"/>
  <c r="S20" i="3"/>
  <c r="T20" i="3"/>
  <c r="U20" i="3"/>
  <c r="V20" i="3"/>
  <c r="W20" i="3"/>
  <c r="X20" i="3"/>
  <c r="O21" i="3"/>
  <c r="P21" i="3"/>
  <c r="Q21" i="3"/>
  <c r="R21" i="3"/>
  <c r="S21" i="3"/>
  <c r="T21" i="3"/>
  <c r="U21" i="3"/>
  <c r="V21" i="3"/>
  <c r="W21" i="3"/>
  <c r="X21" i="3"/>
  <c r="O22" i="3"/>
  <c r="P22" i="3"/>
  <c r="Q22" i="3"/>
  <c r="R22" i="3"/>
  <c r="S22" i="3"/>
  <c r="T22" i="3"/>
  <c r="U22" i="3"/>
  <c r="V22" i="3"/>
  <c r="W22" i="3"/>
  <c r="X22" i="3"/>
  <c r="O23" i="3"/>
  <c r="P23" i="3"/>
  <c r="Q23" i="3"/>
  <c r="R23" i="3"/>
  <c r="S23" i="3"/>
  <c r="T23" i="3"/>
  <c r="U23" i="3"/>
  <c r="V23" i="3"/>
  <c r="W23" i="3"/>
  <c r="X23" i="3"/>
  <c r="O24" i="3"/>
  <c r="P24" i="3"/>
  <c r="Q24" i="3"/>
  <c r="R24" i="3"/>
  <c r="S24" i="3"/>
  <c r="T24" i="3"/>
  <c r="U24" i="3"/>
  <c r="V24" i="3"/>
  <c r="W24" i="3"/>
  <c r="X24" i="3"/>
  <c r="O25" i="3"/>
  <c r="P25" i="3"/>
  <c r="Q25" i="3"/>
  <c r="R25" i="3"/>
  <c r="S25" i="3"/>
  <c r="T25" i="3"/>
  <c r="U25" i="3"/>
  <c r="V25" i="3"/>
  <c r="W25" i="3"/>
  <c r="X25" i="3"/>
  <c r="O26" i="3"/>
  <c r="P26" i="3"/>
  <c r="Q26" i="3"/>
  <c r="R26" i="3"/>
  <c r="S26" i="3"/>
  <c r="T26" i="3"/>
  <c r="U26" i="3"/>
  <c r="V26" i="3"/>
  <c r="W26" i="3"/>
  <c r="X26" i="3"/>
  <c r="AA26" i="3"/>
  <c r="O15" i="3"/>
  <c r="P15" i="3"/>
  <c r="Q15" i="3"/>
  <c r="R15" i="3"/>
  <c r="S15" i="3"/>
  <c r="T15" i="3"/>
  <c r="U15" i="3"/>
  <c r="V15" i="3"/>
  <c r="W15" i="3"/>
  <c r="X15" i="3"/>
  <c r="O16" i="3"/>
  <c r="P16" i="3"/>
  <c r="Q16" i="3"/>
  <c r="R16" i="3"/>
  <c r="S16" i="3"/>
  <c r="T16" i="3"/>
  <c r="U16" i="3"/>
  <c r="V16" i="3"/>
  <c r="W16" i="3"/>
  <c r="X16" i="3"/>
  <c r="O17" i="3"/>
  <c r="P17" i="3"/>
  <c r="Q17" i="3"/>
  <c r="R17" i="3"/>
  <c r="S17" i="3"/>
  <c r="T17" i="3"/>
  <c r="U17" i="3"/>
  <c r="V17" i="3"/>
  <c r="W17" i="3"/>
  <c r="X17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X14" i="3"/>
  <c r="W14" i="3"/>
  <c r="V14" i="3"/>
  <c r="U14" i="3"/>
  <c r="T14" i="3"/>
  <c r="S14" i="3"/>
  <c r="R14" i="3"/>
  <c r="Q14" i="3"/>
  <c r="Q4" i="3"/>
  <c r="R4" i="3"/>
  <c r="S4" i="3"/>
  <c r="T4" i="3"/>
  <c r="U4" i="3"/>
  <c r="V4" i="3"/>
  <c r="W4" i="3"/>
  <c r="X4" i="3"/>
  <c r="Q5" i="3"/>
  <c r="R5" i="3"/>
  <c r="S5" i="3"/>
  <c r="T5" i="3"/>
  <c r="U5" i="3"/>
  <c r="V5" i="3"/>
  <c r="W5" i="3"/>
  <c r="X5" i="3"/>
  <c r="Q6" i="3"/>
  <c r="R6" i="3"/>
  <c r="S6" i="3"/>
  <c r="T6" i="3"/>
  <c r="U6" i="3"/>
  <c r="V6" i="3"/>
  <c r="W6" i="3"/>
  <c r="X6" i="3"/>
  <c r="Q7" i="3"/>
  <c r="R7" i="3"/>
  <c r="S7" i="3"/>
  <c r="T7" i="3"/>
  <c r="U7" i="3"/>
  <c r="V7" i="3"/>
  <c r="W7" i="3"/>
  <c r="X7" i="3"/>
  <c r="Q8" i="3"/>
  <c r="R8" i="3"/>
  <c r="S8" i="3"/>
  <c r="T8" i="3"/>
  <c r="U8" i="3"/>
  <c r="V8" i="3"/>
  <c r="W8" i="3"/>
  <c r="X8" i="3"/>
  <c r="Q9" i="3"/>
  <c r="R9" i="3"/>
  <c r="S9" i="3"/>
  <c r="T9" i="3"/>
  <c r="U9" i="3"/>
  <c r="V9" i="3"/>
  <c r="W9" i="3"/>
  <c r="X9" i="3"/>
  <c r="Q10" i="3"/>
  <c r="R10" i="3"/>
  <c r="S10" i="3"/>
  <c r="T10" i="3"/>
  <c r="U10" i="3"/>
  <c r="V10" i="3"/>
  <c r="W10" i="3"/>
  <c r="X10" i="3"/>
  <c r="Q11" i="3"/>
  <c r="R11" i="3"/>
  <c r="S11" i="3"/>
  <c r="T11" i="3"/>
  <c r="U11" i="3"/>
  <c r="V11" i="3"/>
  <c r="W11" i="3"/>
  <c r="X11" i="3"/>
  <c r="Q12" i="3"/>
  <c r="R12" i="3"/>
  <c r="S12" i="3"/>
  <c r="T12" i="3"/>
  <c r="U12" i="3"/>
  <c r="V12" i="3"/>
  <c r="W12" i="3"/>
  <c r="X12" i="3"/>
  <c r="Q13" i="3"/>
  <c r="R13" i="3"/>
  <c r="S13" i="3"/>
  <c r="T13" i="3"/>
  <c r="U13" i="3"/>
  <c r="V13" i="3"/>
  <c r="W13" i="3"/>
  <c r="X13" i="3"/>
  <c r="O7" i="3"/>
  <c r="P7" i="3"/>
  <c r="O8" i="3"/>
  <c r="P8" i="3"/>
  <c r="O9" i="3"/>
  <c r="P9" i="3"/>
  <c r="O10" i="3"/>
  <c r="P10" i="3"/>
  <c r="O11" i="3"/>
  <c r="P11" i="3"/>
  <c r="O12" i="3"/>
  <c r="P12" i="3"/>
  <c r="O13" i="3"/>
  <c r="P13" i="3"/>
  <c r="O14" i="3"/>
  <c r="P14" i="3"/>
  <c r="AA3" i="3"/>
  <c r="U3" i="3"/>
  <c r="V3" i="3"/>
  <c r="W3" i="3"/>
  <c r="X3" i="3"/>
  <c r="V2" i="3"/>
  <c r="W2" i="3"/>
  <c r="X2" i="3"/>
  <c r="U2" i="3"/>
  <c r="Q3" i="3"/>
  <c r="R3" i="3"/>
  <c r="S3" i="3"/>
  <c r="T3" i="3"/>
  <c r="AA2" i="3"/>
  <c r="R2" i="3"/>
  <c r="S2" i="3"/>
  <c r="T2" i="3"/>
  <c r="Q2" i="3"/>
  <c r="O3" i="3"/>
  <c r="P3" i="3"/>
  <c r="O4" i="3"/>
  <c r="P4" i="3"/>
  <c r="O5" i="3"/>
  <c r="P5" i="3"/>
  <c r="O6" i="3"/>
  <c r="P6" i="3"/>
  <c r="P2" i="3"/>
  <c r="O2" i="3"/>
  <c r="AF1" i="5" l="1"/>
  <c r="AG1" i="5"/>
</calcChain>
</file>

<file path=xl/sharedStrings.xml><?xml version="1.0" encoding="utf-8"?>
<sst xmlns="http://schemas.openxmlformats.org/spreadsheetml/2006/main" count="2105" uniqueCount="431">
  <si>
    <t>date</t>
  </si>
  <si>
    <t>home</t>
  </si>
  <si>
    <t>away</t>
  </si>
  <si>
    <t>h1q</t>
  </si>
  <si>
    <t>h2q</t>
  </si>
  <si>
    <t>h3q</t>
  </si>
  <si>
    <t>h4q</t>
  </si>
  <si>
    <t>hot</t>
  </si>
  <si>
    <t>a1q</t>
  </si>
  <si>
    <t>a2q</t>
  </si>
  <si>
    <t>a3q</t>
  </si>
  <si>
    <t>a4q</t>
  </si>
  <si>
    <t>htot</t>
  </si>
  <si>
    <t>atot</t>
  </si>
  <si>
    <t>1qwl</t>
  </si>
  <si>
    <t>2qwl</t>
  </si>
  <si>
    <t>3qwl</t>
  </si>
  <si>
    <t>4qwl</t>
  </si>
  <si>
    <t>1qou</t>
  </si>
  <si>
    <t>2qou</t>
  </si>
  <si>
    <t>3qou</t>
  </si>
  <si>
    <t>4qou</t>
  </si>
  <si>
    <t>ou</t>
  </si>
  <si>
    <t>1qline</t>
  </si>
  <si>
    <t>aot</t>
    <phoneticPr fontId="1" type="noConversion"/>
  </si>
  <si>
    <t>LAC</t>
    <phoneticPr fontId="1" type="noConversion"/>
  </si>
  <si>
    <t>LAL</t>
    <phoneticPr fontId="1" type="noConversion"/>
  </si>
  <si>
    <t>NO</t>
    <phoneticPr fontId="1" type="noConversion"/>
  </si>
  <si>
    <t>TOR</t>
    <phoneticPr fontId="1" type="noConversion"/>
  </si>
  <si>
    <t>MIN</t>
    <phoneticPr fontId="1" type="noConversion"/>
  </si>
  <si>
    <t>BKN</t>
    <phoneticPr fontId="1" type="noConversion"/>
  </si>
  <si>
    <t>CHA</t>
    <phoneticPr fontId="1" type="noConversion"/>
  </si>
  <si>
    <t>CHI</t>
    <phoneticPr fontId="1" type="noConversion"/>
  </si>
  <si>
    <t>DAL</t>
    <phoneticPr fontId="1" type="noConversion"/>
  </si>
  <si>
    <t>WAS</t>
    <phoneticPr fontId="1" type="noConversion"/>
  </si>
  <si>
    <t>IND</t>
    <phoneticPr fontId="1" type="noConversion"/>
  </si>
  <si>
    <t>DET</t>
    <phoneticPr fontId="1" type="noConversion"/>
  </si>
  <si>
    <t>MIA</t>
    <phoneticPr fontId="1" type="noConversion"/>
  </si>
  <si>
    <t>MEM</t>
    <phoneticPr fontId="1" type="noConversion"/>
  </si>
  <si>
    <t>ORL</t>
    <phoneticPr fontId="1" type="noConversion"/>
  </si>
  <si>
    <t>CLE</t>
    <phoneticPr fontId="1" type="noConversion"/>
  </si>
  <si>
    <t>PHI</t>
    <phoneticPr fontId="1" type="noConversion"/>
  </si>
  <si>
    <t>BOS</t>
    <phoneticPr fontId="1" type="noConversion"/>
  </si>
  <si>
    <t>PHO</t>
    <phoneticPr fontId="1" type="noConversion"/>
  </si>
  <si>
    <t>SAC</t>
    <phoneticPr fontId="1" type="noConversion"/>
  </si>
  <si>
    <t>POR</t>
    <phoneticPr fontId="1" type="noConversion"/>
  </si>
  <si>
    <t>DEN</t>
    <phoneticPr fontId="1" type="noConversion"/>
  </si>
  <si>
    <t>NYK</t>
    <phoneticPr fontId="1" type="noConversion"/>
  </si>
  <si>
    <t>UTA</t>
    <phoneticPr fontId="1" type="noConversion"/>
  </si>
  <si>
    <t>OKC</t>
    <phoneticPr fontId="1" type="noConversion"/>
  </si>
  <si>
    <t>ATL</t>
    <phoneticPr fontId="1" type="noConversion"/>
  </si>
  <si>
    <t>GS</t>
    <phoneticPr fontId="1" type="noConversion"/>
  </si>
  <si>
    <t>HOU</t>
    <phoneticPr fontId="1" type="noConversion"/>
  </si>
  <si>
    <t>MIL</t>
    <phoneticPr fontId="1" type="noConversion"/>
  </si>
  <si>
    <t>NY</t>
    <phoneticPr fontId="1" type="noConversion"/>
  </si>
  <si>
    <t>gametime</t>
    <phoneticPr fontId="1" type="noConversion"/>
  </si>
  <si>
    <t>SAS</t>
    <phoneticPr fontId="1" type="noConversion"/>
  </si>
  <si>
    <t>OKC</t>
    <phoneticPr fontId="1" type="noConversion"/>
  </si>
  <si>
    <t>GS</t>
    <phoneticPr fontId="1" type="noConversion"/>
  </si>
  <si>
    <t>MEM</t>
    <phoneticPr fontId="1" type="noConversion"/>
  </si>
  <si>
    <t>BKN</t>
    <phoneticPr fontId="1" type="noConversion"/>
  </si>
  <si>
    <t>DAL</t>
    <phoneticPr fontId="1" type="noConversion"/>
  </si>
  <si>
    <t>POR</t>
    <phoneticPr fontId="1" type="noConversion"/>
  </si>
  <si>
    <t>MIN</t>
    <phoneticPr fontId="1" type="noConversion"/>
  </si>
  <si>
    <t>MIA</t>
    <phoneticPr fontId="1" type="noConversion"/>
  </si>
  <si>
    <t>LAL</t>
    <phoneticPr fontId="1" type="noConversion"/>
  </si>
  <si>
    <t>CHA</t>
    <phoneticPr fontId="1" type="noConversion"/>
  </si>
  <si>
    <t>home/away</t>
    <phoneticPr fontId="1" type="noConversion"/>
  </si>
  <si>
    <t>DET</t>
    <phoneticPr fontId="1" type="noConversion"/>
  </si>
  <si>
    <t>IND</t>
    <phoneticPr fontId="1" type="noConversion"/>
  </si>
  <si>
    <t>NY</t>
    <phoneticPr fontId="1" type="noConversion"/>
  </si>
  <si>
    <t>CHI</t>
    <phoneticPr fontId="1" type="noConversion"/>
  </si>
  <si>
    <t>PHI</t>
    <phoneticPr fontId="1" type="noConversion"/>
  </si>
  <si>
    <t>ATL</t>
    <phoneticPr fontId="1" type="noConversion"/>
  </si>
  <si>
    <t>TOR</t>
    <phoneticPr fontId="1" type="noConversion"/>
  </si>
  <si>
    <t>ORL</t>
    <phoneticPr fontId="1" type="noConversion"/>
  </si>
  <si>
    <t>NO</t>
    <phoneticPr fontId="1" type="noConversion"/>
  </si>
  <si>
    <t>GS</t>
    <phoneticPr fontId="1" type="noConversion"/>
  </si>
  <si>
    <t>HOU</t>
    <phoneticPr fontId="1" type="noConversion"/>
  </si>
  <si>
    <t>OKC</t>
    <phoneticPr fontId="1" type="noConversion"/>
  </si>
  <si>
    <t>MIL</t>
    <phoneticPr fontId="1" type="noConversion"/>
  </si>
  <si>
    <t>CLE</t>
    <phoneticPr fontId="1" type="noConversion"/>
  </si>
  <si>
    <t>SAS</t>
    <phoneticPr fontId="1" type="noConversion"/>
  </si>
  <si>
    <t>POR</t>
    <phoneticPr fontId="1" type="noConversion"/>
  </si>
  <si>
    <t>PHO</t>
    <phoneticPr fontId="1" type="noConversion"/>
  </si>
  <si>
    <t>UTA</t>
    <phoneticPr fontId="1" type="noConversion"/>
  </si>
  <si>
    <t>SAC</t>
    <phoneticPr fontId="1" type="noConversion"/>
  </si>
  <si>
    <t>DEN</t>
    <phoneticPr fontId="1" type="noConversion"/>
  </si>
  <si>
    <t>LAC</t>
    <phoneticPr fontId="1" type="noConversion"/>
  </si>
  <si>
    <t>CHA</t>
    <phoneticPr fontId="1" type="noConversion"/>
  </si>
  <si>
    <t>OKC/GS</t>
  </si>
  <si>
    <t>MEM/BKN</t>
  </si>
  <si>
    <t>DAL/POR</t>
  </si>
  <si>
    <t>MIN/MIA</t>
  </si>
  <si>
    <t>LAL/CHA</t>
  </si>
  <si>
    <t>MIA</t>
    <phoneticPr fontId="1" type="noConversion"/>
  </si>
  <si>
    <t>ATL</t>
    <phoneticPr fontId="1" type="noConversion"/>
  </si>
  <si>
    <t>DEN</t>
    <phoneticPr fontId="1" type="noConversion"/>
  </si>
  <si>
    <t>DAL</t>
    <phoneticPr fontId="1" type="noConversion"/>
  </si>
  <si>
    <t>LAL</t>
    <phoneticPr fontId="1" type="noConversion"/>
  </si>
  <si>
    <t>MEM</t>
    <phoneticPr fontId="1" type="noConversion"/>
  </si>
  <si>
    <t>CHI</t>
    <phoneticPr fontId="1" type="noConversion"/>
  </si>
  <si>
    <t>ORL</t>
    <phoneticPr fontId="1" type="noConversion"/>
  </si>
  <si>
    <t>NYK</t>
    <phoneticPr fontId="1" type="noConversion"/>
  </si>
  <si>
    <t>PHI</t>
    <phoneticPr fontId="1" type="noConversion"/>
  </si>
  <si>
    <t>MIN</t>
    <phoneticPr fontId="1" type="noConversion"/>
  </si>
  <si>
    <t>BOS</t>
    <phoneticPr fontId="1" type="noConversion"/>
  </si>
  <si>
    <t>MIL</t>
    <phoneticPr fontId="1" type="noConversion"/>
  </si>
  <si>
    <t>BKN</t>
    <phoneticPr fontId="1" type="noConversion"/>
  </si>
  <si>
    <t>IND</t>
    <phoneticPr fontId="1" type="noConversion"/>
  </si>
  <si>
    <t>TOR</t>
    <phoneticPr fontId="1" type="noConversion"/>
  </si>
  <si>
    <t>DET</t>
    <phoneticPr fontId="1" type="noConversion"/>
  </si>
  <si>
    <t>OKC</t>
    <phoneticPr fontId="1" type="noConversion"/>
  </si>
  <si>
    <t>POR</t>
    <phoneticPr fontId="1" type="noConversion"/>
  </si>
  <si>
    <t>WAS</t>
    <phoneticPr fontId="1" type="noConversion"/>
  </si>
  <si>
    <t>HOU</t>
    <phoneticPr fontId="1" type="noConversion"/>
  </si>
  <si>
    <t>SAC</t>
    <phoneticPr fontId="1" type="noConversion"/>
  </si>
  <si>
    <t>CHA</t>
    <phoneticPr fontId="1" type="noConversion"/>
  </si>
  <si>
    <t>UTA</t>
    <phoneticPr fontId="1" type="noConversion"/>
  </si>
  <si>
    <t>LAC</t>
    <phoneticPr fontId="1" type="noConversion"/>
  </si>
  <si>
    <t>GS</t>
    <phoneticPr fontId="1" type="noConversion"/>
  </si>
  <si>
    <t>PHO</t>
    <phoneticPr fontId="1" type="noConversion"/>
  </si>
  <si>
    <t>ATL</t>
    <phoneticPr fontId="1" type="noConversion"/>
  </si>
  <si>
    <t>MIA</t>
    <phoneticPr fontId="1" type="noConversion"/>
  </si>
  <si>
    <t>NO</t>
    <phoneticPr fontId="1" type="noConversion"/>
  </si>
  <si>
    <t>DEN</t>
    <phoneticPr fontId="1" type="noConversion"/>
  </si>
  <si>
    <t>LAC</t>
    <phoneticPr fontId="1" type="noConversion"/>
  </si>
  <si>
    <t>SAS</t>
    <phoneticPr fontId="1" type="noConversion"/>
  </si>
  <si>
    <t>IND</t>
    <phoneticPr fontId="1" type="noConversion"/>
  </si>
  <si>
    <t>CLE</t>
    <phoneticPr fontId="1" type="noConversion"/>
  </si>
  <si>
    <t>ORL</t>
    <phoneticPr fontId="1" type="noConversion"/>
  </si>
  <si>
    <t>MIL</t>
    <phoneticPr fontId="1" type="noConversion"/>
  </si>
  <si>
    <t>BOS</t>
    <phoneticPr fontId="1" type="noConversion"/>
  </si>
  <si>
    <t>NYK</t>
    <phoneticPr fontId="1" type="noConversion"/>
  </si>
  <si>
    <t>CHI</t>
    <phoneticPr fontId="1" type="noConversion"/>
  </si>
  <si>
    <t>DET</t>
    <phoneticPr fontId="1" type="noConversion"/>
  </si>
  <si>
    <t>DAL</t>
    <phoneticPr fontId="1" type="noConversion"/>
  </si>
  <si>
    <t>LAL</t>
    <phoneticPr fontId="1" type="noConversion"/>
  </si>
  <si>
    <t>SAC</t>
    <phoneticPr fontId="1" type="noConversion"/>
  </si>
  <si>
    <t>UTA</t>
    <phoneticPr fontId="1" type="noConversion"/>
  </si>
  <si>
    <t>GS</t>
    <phoneticPr fontId="1" type="noConversion"/>
  </si>
  <si>
    <t>OKC</t>
    <phoneticPr fontId="1" type="noConversion"/>
  </si>
  <si>
    <t>BKN</t>
    <phoneticPr fontId="1" type="noConversion"/>
  </si>
  <si>
    <t>TOR</t>
    <phoneticPr fontId="1" type="noConversion"/>
  </si>
  <si>
    <t>WAS</t>
    <phoneticPr fontId="1" type="noConversion"/>
  </si>
  <si>
    <t>MIN</t>
    <phoneticPr fontId="1" type="noConversion"/>
  </si>
  <si>
    <t>MEM</t>
    <phoneticPr fontId="1" type="noConversion"/>
  </si>
  <si>
    <t>PHO</t>
    <phoneticPr fontId="1" type="noConversion"/>
  </si>
  <si>
    <t>CHA</t>
    <phoneticPr fontId="1" type="noConversion"/>
  </si>
  <si>
    <t>POR</t>
    <phoneticPr fontId="1" type="noConversion"/>
  </si>
  <si>
    <t>PHI</t>
    <phoneticPr fontId="1" type="noConversion"/>
  </si>
  <si>
    <t>HOU</t>
    <phoneticPr fontId="1" type="noConversion"/>
  </si>
  <si>
    <t>home/away</t>
    <phoneticPr fontId="1" type="noConversion"/>
  </si>
  <si>
    <t>SAS</t>
    <phoneticPr fontId="1" type="noConversion"/>
  </si>
  <si>
    <t>BOS</t>
    <phoneticPr fontId="1" type="noConversion"/>
  </si>
  <si>
    <t>CHA</t>
    <phoneticPr fontId="1" type="noConversion"/>
  </si>
  <si>
    <t>NO</t>
    <phoneticPr fontId="1" type="noConversion"/>
  </si>
  <si>
    <t>CHI</t>
    <phoneticPr fontId="1" type="noConversion"/>
  </si>
  <si>
    <t>HOU</t>
    <phoneticPr fontId="1" type="noConversion"/>
  </si>
  <si>
    <t>OKC</t>
    <phoneticPr fontId="1" type="noConversion"/>
  </si>
  <si>
    <t>GS</t>
    <phoneticPr fontId="1" type="noConversion"/>
  </si>
  <si>
    <t>MEM</t>
    <phoneticPr fontId="1" type="noConversion"/>
  </si>
  <si>
    <t>DAL</t>
    <phoneticPr fontId="1" type="noConversion"/>
  </si>
  <si>
    <t>MIN</t>
    <phoneticPr fontId="1" type="noConversion"/>
  </si>
  <si>
    <t>DEN</t>
    <phoneticPr fontId="1" type="noConversion"/>
  </si>
  <si>
    <t>ORL</t>
    <phoneticPr fontId="1" type="noConversion"/>
  </si>
  <si>
    <t>IND</t>
    <phoneticPr fontId="1" type="noConversion"/>
  </si>
  <si>
    <t>PHI</t>
    <phoneticPr fontId="1" type="noConversion"/>
  </si>
  <si>
    <t>MIL</t>
    <phoneticPr fontId="1" type="noConversion"/>
  </si>
  <si>
    <t>CLE</t>
    <phoneticPr fontId="1" type="noConversion"/>
  </si>
  <si>
    <t>PHO</t>
    <phoneticPr fontId="1" type="noConversion"/>
  </si>
  <si>
    <t>BKN</t>
    <phoneticPr fontId="1" type="noConversion"/>
  </si>
  <si>
    <t>POR</t>
    <phoneticPr fontId="1" type="noConversion"/>
  </si>
  <si>
    <t>ATL</t>
    <phoneticPr fontId="1" type="noConversion"/>
  </si>
  <si>
    <t>LAL</t>
    <phoneticPr fontId="1" type="noConversion"/>
  </si>
  <si>
    <t>TOR</t>
    <phoneticPr fontId="1" type="noConversion"/>
  </si>
  <si>
    <t>DET</t>
    <phoneticPr fontId="1" type="noConversion"/>
  </si>
  <si>
    <t>UTA</t>
    <phoneticPr fontId="1" type="noConversion"/>
  </si>
  <si>
    <t>LAC</t>
    <phoneticPr fontId="1" type="noConversion"/>
  </si>
  <si>
    <t>ORL</t>
    <phoneticPr fontId="1" type="noConversion"/>
  </si>
  <si>
    <t>PHI</t>
    <phoneticPr fontId="1" type="noConversion"/>
  </si>
  <si>
    <t>CHA</t>
    <phoneticPr fontId="1" type="noConversion"/>
  </si>
  <si>
    <t>MEM</t>
    <phoneticPr fontId="1" type="noConversion"/>
  </si>
  <si>
    <t>BOS</t>
    <phoneticPr fontId="1" type="noConversion"/>
  </si>
  <si>
    <t>WAS</t>
    <phoneticPr fontId="1" type="noConversion"/>
  </si>
  <si>
    <t>HOU</t>
    <phoneticPr fontId="1" type="noConversion"/>
  </si>
  <si>
    <t>LAC</t>
    <phoneticPr fontId="1" type="noConversion"/>
  </si>
  <si>
    <t>MIN</t>
    <phoneticPr fontId="1" type="noConversion"/>
  </si>
  <si>
    <t>SAS</t>
    <phoneticPr fontId="1" type="noConversion"/>
  </si>
  <si>
    <t>LAL</t>
    <phoneticPr fontId="1" type="noConversion"/>
  </si>
  <si>
    <t>GS</t>
    <phoneticPr fontId="1" type="noConversion"/>
  </si>
  <si>
    <t>POR</t>
    <phoneticPr fontId="1" type="noConversion"/>
  </si>
  <si>
    <t>TOR</t>
    <phoneticPr fontId="1" type="noConversion"/>
  </si>
  <si>
    <t>CLE</t>
    <phoneticPr fontId="1" type="noConversion"/>
  </si>
  <si>
    <t>MIA</t>
    <phoneticPr fontId="1" type="noConversion"/>
  </si>
  <si>
    <t>CHI</t>
    <phoneticPr fontId="1" type="noConversion"/>
  </si>
  <si>
    <t>PHO</t>
    <phoneticPr fontId="1" type="noConversion"/>
  </si>
  <si>
    <t>ORL</t>
    <phoneticPr fontId="1" type="noConversion"/>
  </si>
  <si>
    <t>SAS</t>
    <phoneticPr fontId="1" type="noConversion"/>
  </si>
  <si>
    <t>CHA</t>
    <phoneticPr fontId="1" type="noConversion"/>
  </si>
  <si>
    <t>DET</t>
    <phoneticPr fontId="1" type="noConversion"/>
  </si>
  <si>
    <t>HOU</t>
    <phoneticPr fontId="1" type="noConversion"/>
  </si>
  <si>
    <t>IND</t>
    <phoneticPr fontId="1" type="noConversion"/>
  </si>
  <si>
    <t>MIN</t>
    <phoneticPr fontId="1" type="noConversion"/>
  </si>
  <si>
    <t>WAS</t>
    <phoneticPr fontId="1" type="noConversion"/>
  </si>
  <si>
    <t>OKC</t>
    <phoneticPr fontId="1" type="noConversion"/>
  </si>
  <si>
    <t>PHI</t>
    <phoneticPr fontId="1" type="noConversion"/>
  </si>
  <si>
    <t>MEM</t>
    <phoneticPr fontId="1" type="noConversion"/>
  </si>
  <si>
    <t>UTA</t>
    <phoneticPr fontId="1" type="noConversion"/>
  </si>
  <si>
    <t>GS</t>
    <phoneticPr fontId="1" type="noConversion"/>
  </si>
  <si>
    <t>BOS</t>
    <phoneticPr fontId="1" type="noConversion"/>
  </si>
  <si>
    <t>LAL</t>
    <phoneticPr fontId="1" type="noConversion"/>
  </si>
  <si>
    <t>SAC</t>
    <phoneticPr fontId="1" type="noConversion"/>
  </si>
  <si>
    <t>CHI</t>
    <phoneticPr fontId="1" type="noConversion"/>
  </si>
  <si>
    <t>BKN</t>
    <phoneticPr fontId="1" type="noConversion"/>
  </si>
  <si>
    <t>MIL</t>
    <phoneticPr fontId="1" type="noConversion"/>
  </si>
  <si>
    <t>NYK</t>
    <phoneticPr fontId="1" type="noConversion"/>
  </si>
  <si>
    <t>MIA</t>
    <phoneticPr fontId="1" type="noConversion"/>
  </si>
  <si>
    <t>NO</t>
    <phoneticPr fontId="1" type="noConversion"/>
  </si>
  <si>
    <t>DAL</t>
    <phoneticPr fontId="1" type="noConversion"/>
  </si>
  <si>
    <t>TOR</t>
    <phoneticPr fontId="1" type="noConversion"/>
  </si>
  <si>
    <t>POR</t>
    <phoneticPr fontId="1" type="noConversion"/>
  </si>
  <si>
    <t>LAC</t>
    <phoneticPr fontId="1" type="noConversion"/>
  </si>
  <si>
    <t>ATL</t>
    <phoneticPr fontId="1" type="noConversion"/>
  </si>
  <si>
    <t>CLE</t>
    <phoneticPr fontId="1" type="noConversion"/>
  </si>
  <si>
    <t>PHI</t>
    <phoneticPr fontId="1" type="noConversion"/>
  </si>
  <si>
    <t>SAC</t>
    <phoneticPr fontId="1" type="noConversion"/>
  </si>
  <si>
    <t>BOS</t>
    <phoneticPr fontId="1" type="noConversion"/>
  </si>
  <si>
    <t>ORL</t>
    <phoneticPr fontId="1" type="noConversion"/>
  </si>
  <si>
    <t>MEM</t>
    <phoneticPr fontId="1" type="noConversion"/>
  </si>
  <si>
    <t>DEN</t>
    <phoneticPr fontId="1" type="noConversion"/>
  </si>
  <si>
    <t>NO</t>
    <phoneticPr fontId="1" type="noConversion"/>
  </si>
  <si>
    <t>GS</t>
    <phoneticPr fontId="1" type="noConversion"/>
  </si>
  <si>
    <t>LAL</t>
    <phoneticPr fontId="1" type="noConversion"/>
  </si>
  <si>
    <t>ATL</t>
    <phoneticPr fontId="1" type="noConversion"/>
  </si>
  <si>
    <t>BKN</t>
    <phoneticPr fontId="1" type="noConversion"/>
  </si>
  <si>
    <t>TOR</t>
    <phoneticPr fontId="1" type="noConversion"/>
  </si>
  <si>
    <t>CHA</t>
    <phoneticPr fontId="1" type="noConversion"/>
  </si>
  <si>
    <t>CHI</t>
    <phoneticPr fontId="1" type="noConversion"/>
  </si>
  <si>
    <t>MIL</t>
    <phoneticPr fontId="1" type="noConversion"/>
  </si>
  <si>
    <t>HOU</t>
    <phoneticPr fontId="1" type="noConversion"/>
  </si>
  <si>
    <t>POR</t>
    <phoneticPr fontId="1" type="noConversion"/>
  </si>
  <si>
    <t>SAS</t>
    <phoneticPr fontId="1" type="noConversion"/>
  </si>
  <si>
    <t>PHO</t>
    <phoneticPr fontId="1" type="noConversion"/>
  </si>
  <si>
    <t>UTA</t>
    <phoneticPr fontId="1" type="noConversion"/>
  </si>
  <si>
    <t>MIN</t>
    <phoneticPr fontId="1" type="noConversion"/>
  </si>
  <si>
    <t>LAC</t>
    <phoneticPr fontId="1" type="noConversion"/>
  </si>
  <si>
    <t>OKC</t>
    <phoneticPr fontId="1" type="noConversion"/>
  </si>
  <si>
    <t>NYK</t>
    <phoneticPr fontId="1" type="noConversion"/>
  </si>
  <si>
    <t>WAS</t>
    <phoneticPr fontId="1" type="noConversion"/>
  </si>
  <si>
    <t>DAL</t>
    <phoneticPr fontId="1" type="noConversion"/>
  </si>
  <si>
    <t>MIA</t>
    <phoneticPr fontId="1" type="noConversion"/>
  </si>
  <si>
    <t>DET</t>
    <phoneticPr fontId="1" type="noConversion"/>
  </si>
  <si>
    <t>MIL</t>
    <phoneticPr fontId="1" type="noConversion"/>
  </si>
  <si>
    <t>POR</t>
    <phoneticPr fontId="1" type="noConversion"/>
  </si>
  <si>
    <t>PHO</t>
    <phoneticPr fontId="1" type="noConversion"/>
  </si>
  <si>
    <t>NO</t>
    <phoneticPr fontId="1" type="noConversion"/>
  </si>
  <si>
    <t>DET</t>
    <phoneticPr fontId="1" type="noConversion"/>
  </si>
  <si>
    <t>ATL</t>
    <phoneticPr fontId="1" type="noConversion"/>
  </si>
  <si>
    <t>WAS</t>
    <phoneticPr fontId="1" type="noConversion"/>
  </si>
  <si>
    <t>CHA</t>
    <phoneticPr fontId="1" type="noConversion"/>
  </si>
  <si>
    <t>BKN</t>
    <phoneticPr fontId="1" type="noConversion"/>
  </si>
  <si>
    <t>SAC</t>
    <phoneticPr fontId="1" type="noConversion"/>
  </si>
  <si>
    <t>CHI</t>
    <phoneticPr fontId="1" type="noConversion"/>
  </si>
  <si>
    <t>MIA</t>
    <phoneticPr fontId="1" type="noConversion"/>
  </si>
  <si>
    <t>PHI</t>
    <phoneticPr fontId="1" type="noConversion"/>
  </si>
  <si>
    <t>SAS</t>
    <phoneticPr fontId="1" type="noConversion"/>
  </si>
  <si>
    <t>OKC</t>
    <phoneticPr fontId="1" type="noConversion"/>
  </si>
  <si>
    <t>LAL</t>
    <phoneticPr fontId="1" type="noConversion"/>
  </si>
  <si>
    <t>DAL</t>
    <phoneticPr fontId="1" type="noConversion"/>
  </si>
  <si>
    <t>CLE</t>
    <phoneticPr fontId="1" type="noConversion"/>
  </si>
  <si>
    <t>DEN</t>
    <phoneticPr fontId="1" type="noConversion"/>
  </si>
  <si>
    <t>BOS</t>
    <phoneticPr fontId="1" type="noConversion"/>
  </si>
  <si>
    <t>UTA</t>
    <phoneticPr fontId="1" type="noConversion"/>
  </si>
  <si>
    <t>GS</t>
    <phoneticPr fontId="1" type="noConversion"/>
  </si>
  <si>
    <t>LAC</t>
    <phoneticPr fontId="1" type="noConversion"/>
  </si>
  <si>
    <t>HOU</t>
    <phoneticPr fontId="1" type="noConversion"/>
  </si>
  <si>
    <t>MIN</t>
    <phoneticPr fontId="1" type="noConversion"/>
  </si>
  <si>
    <t>PHO</t>
    <phoneticPr fontId="1" type="noConversion"/>
  </si>
  <si>
    <t>IND</t>
    <phoneticPr fontId="1" type="noConversion"/>
  </si>
  <si>
    <t>ORL</t>
    <phoneticPr fontId="1" type="noConversion"/>
  </si>
  <si>
    <t>TOR</t>
    <phoneticPr fontId="1" type="noConversion"/>
  </si>
  <si>
    <t>NYK</t>
    <phoneticPr fontId="1" type="noConversion"/>
  </si>
  <si>
    <t>POR</t>
    <phoneticPr fontId="1" type="noConversion"/>
  </si>
  <si>
    <t>MEM</t>
    <phoneticPr fontId="1" type="noConversion"/>
  </si>
  <si>
    <t>MIL</t>
    <phoneticPr fontId="1" type="noConversion"/>
  </si>
  <si>
    <t>NO</t>
    <phoneticPr fontId="1" type="noConversion"/>
  </si>
  <si>
    <t>BKN</t>
    <phoneticPr fontId="1" type="noConversion"/>
  </si>
  <si>
    <t>BOS</t>
    <phoneticPr fontId="1" type="noConversion"/>
  </si>
  <si>
    <t>DET</t>
    <phoneticPr fontId="1" type="noConversion"/>
  </si>
  <si>
    <t>CHA</t>
    <phoneticPr fontId="1" type="noConversion"/>
  </si>
  <si>
    <t>ORL</t>
    <phoneticPr fontId="1" type="noConversion"/>
  </si>
  <si>
    <t>TOR</t>
    <phoneticPr fontId="1" type="noConversion"/>
  </si>
  <si>
    <t>CLE</t>
    <phoneticPr fontId="1" type="noConversion"/>
  </si>
  <si>
    <t>MIL</t>
    <phoneticPr fontId="1" type="noConversion"/>
  </si>
  <si>
    <t>NYK</t>
    <phoneticPr fontId="1" type="noConversion"/>
  </si>
  <si>
    <t>PHI</t>
    <phoneticPr fontId="1" type="noConversion"/>
  </si>
  <si>
    <t>IND</t>
    <phoneticPr fontId="1" type="noConversion"/>
  </si>
  <si>
    <t>ATL</t>
    <phoneticPr fontId="1" type="noConversion"/>
  </si>
  <si>
    <t>MIA</t>
    <phoneticPr fontId="1" type="noConversion"/>
  </si>
  <si>
    <t>GS</t>
    <phoneticPr fontId="1" type="noConversion"/>
  </si>
  <si>
    <t>OKC</t>
    <phoneticPr fontId="1" type="noConversion"/>
  </si>
  <si>
    <t>NO</t>
    <phoneticPr fontId="1" type="noConversion"/>
  </si>
  <si>
    <t>MEM</t>
    <phoneticPr fontId="1" type="noConversion"/>
  </si>
  <si>
    <t>UTA</t>
    <phoneticPr fontId="1" type="noConversion"/>
  </si>
  <si>
    <t>SAS</t>
    <phoneticPr fontId="1" type="noConversion"/>
  </si>
  <si>
    <t>LAC</t>
    <phoneticPr fontId="1" type="noConversion"/>
  </si>
  <si>
    <t>PHO</t>
    <phoneticPr fontId="1" type="noConversion"/>
  </si>
  <si>
    <t>DAL</t>
    <phoneticPr fontId="1" type="noConversion"/>
  </si>
  <si>
    <t>POR</t>
    <phoneticPr fontId="1" type="noConversion"/>
  </si>
  <si>
    <t>CHI</t>
    <phoneticPr fontId="1" type="noConversion"/>
  </si>
  <si>
    <t>LAL</t>
    <phoneticPr fontId="1" type="noConversion"/>
  </si>
  <si>
    <t>WAS</t>
    <phoneticPr fontId="1" type="noConversion"/>
  </si>
  <si>
    <t>SAC</t>
    <phoneticPr fontId="1" type="noConversion"/>
  </si>
  <si>
    <t>DEN</t>
    <phoneticPr fontId="1" type="noConversion"/>
  </si>
  <si>
    <t>PHI</t>
    <phoneticPr fontId="1" type="noConversion"/>
  </si>
  <si>
    <t>IND</t>
    <phoneticPr fontId="1" type="noConversion"/>
  </si>
  <si>
    <t>HOU</t>
    <phoneticPr fontId="1" type="noConversion"/>
  </si>
  <si>
    <t>ATL</t>
    <phoneticPr fontId="1" type="noConversion"/>
  </si>
  <si>
    <t>MIL</t>
    <phoneticPr fontId="1" type="noConversion"/>
  </si>
  <si>
    <t>CHA</t>
    <phoneticPr fontId="1" type="noConversion"/>
  </si>
  <si>
    <t>BKN</t>
    <phoneticPr fontId="1" type="noConversion"/>
  </si>
  <si>
    <t>MIA</t>
    <phoneticPr fontId="1" type="noConversion"/>
  </si>
  <si>
    <t>MIN</t>
    <phoneticPr fontId="1" type="noConversion"/>
  </si>
  <si>
    <t>MEM</t>
    <phoneticPr fontId="1" type="noConversion"/>
  </si>
  <si>
    <t>NYK</t>
    <phoneticPr fontId="1" type="noConversion"/>
  </si>
  <si>
    <t>BOS</t>
    <phoneticPr fontId="1" type="noConversion"/>
  </si>
  <si>
    <t>LAL</t>
    <phoneticPr fontId="1" type="noConversion"/>
  </si>
  <si>
    <t>DAL</t>
    <phoneticPr fontId="1" type="noConversion"/>
  </si>
  <si>
    <t>NO</t>
    <phoneticPr fontId="1" type="noConversion"/>
  </si>
  <si>
    <t>OKC</t>
    <phoneticPr fontId="1" type="noConversion"/>
  </si>
  <si>
    <t>DET</t>
    <phoneticPr fontId="1" type="noConversion"/>
  </si>
  <si>
    <t>SAS</t>
    <phoneticPr fontId="1" type="noConversion"/>
  </si>
  <si>
    <t>ORL</t>
    <phoneticPr fontId="1" type="noConversion"/>
  </si>
  <si>
    <t>GS</t>
    <phoneticPr fontId="1" type="noConversion"/>
  </si>
  <si>
    <t>TOR</t>
    <phoneticPr fontId="1" type="noConversion"/>
  </si>
  <si>
    <t>UTA</t>
    <phoneticPr fontId="1" type="noConversion"/>
  </si>
  <si>
    <t>LAC</t>
    <phoneticPr fontId="1" type="noConversion"/>
  </si>
  <si>
    <t>WAS</t>
    <phoneticPr fontId="1" type="noConversion"/>
  </si>
  <si>
    <t>PHI</t>
    <phoneticPr fontId="1" type="noConversion"/>
  </si>
  <si>
    <t>CHA</t>
    <phoneticPr fontId="1" type="noConversion"/>
  </si>
  <si>
    <t>PHO</t>
    <phoneticPr fontId="1" type="noConversion"/>
  </si>
  <si>
    <t>ATL</t>
    <phoneticPr fontId="1" type="noConversion"/>
  </si>
  <si>
    <t>MIL</t>
    <phoneticPr fontId="1" type="noConversion"/>
  </si>
  <si>
    <t>IND</t>
    <phoneticPr fontId="1" type="noConversion"/>
  </si>
  <si>
    <t>SAC</t>
    <phoneticPr fontId="1" type="noConversion"/>
  </si>
  <si>
    <t>CHI</t>
    <phoneticPr fontId="1" type="noConversion"/>
  </si>
  <si>
    <t>CLE</t>
    <phoneticPr fontId="1" type="noConversion"/>
  </si>
  <si>
    <t>HOU</t>
    <phoneticPr fontId="1" type="noConversion"/>
  </si>
  <si>
    <t>DEN</t>
    <phoneticPr fontId="1" type="noConversion"/>
  </si>
  <si>
    <t>POR</t>
    <phoneticPr fontId="1" type="noConversion"/>
  </si>
  <si>
    <t>DET</t>
    <phoneticPr fontId="1" type="noConversion"/>
  </si>
  <si>
    <t>MIL</t>
    <phoneticPr fontId="1" type="noConversion"/>
  </si>
  <si>
    <t>ORL</t>
    <phoneticPr fontId="1" type="noConversion"/>
  </si>
  <si>
    <t>PHO</t>
    <phoneticPr fontId="1" type="noConversion"/>
  </si>
  <si>
    <t>CHA</t>
    <phoneticPr fontId="1" type="noConversion"/>
  </si>
  <si>
    <t>GS</t>
    <phoneticPr fontId="1" type="noConversion"/>
  </si>
  <si>
    <t>ATL</t>
    <phoneticPr fontId="1" type="noConversion"/>
  </si>
  <si>
    <t>BKN</t>
    <phoneticPr fontId="1" type="noConversion"/>
  </si>
  <si>
    <t>BOS</t>
    <phoneticPr fontId="1" type="noConversion"/>
  </si>
  <si>
    <t>MIA</t>
    <phoneticPr fontId="1" type="noConversion"/>
  </si>
  <si>
    <t>CHI</t>
    <phoneticPr fontId="1" type="noConversion"/>
  </si>
  <si>
    <t>MEM</t>
    <phoneticPr fontId="1" type="noConversion"/>
  </si>
  <si>
    <t>OKC</t>
    <phoneticPr fontId="1" type="noConversion"/>
  </si>
  <si>
    <t>IND</t>
    <phoneticPr fontId="1" type="noConversion"/>
  </si>
  <si>
    <t>DAL</t>
    <phoneticPr fontId="1" type="noConversion"/>
  </si>
  <si>
    <t>MIN</t>
    <phoneticPr fontId="1" type="noConversion"/>
  </si>
  <si>
    <t>UTA</t>
    <phoneticPr fontId="1" type="noConversion"/>
  </si>
  <si>
    <t>LAL</t>
    <phoneticPr fontId="1" type="noConversion"/>
  </si>
  <si>
    <t>POR</t>
    <phoneticPr fontId="1" type="noConversion"/>
  </si>
  <si>
    <t>SAC</t>
    <phoneticPr fontId="1" type="noConversion"/>
  </si>
  <si>
    <t>PHI</t>
    <phoneticPr fontId="1" type="noConversion"/>
  </si>
  <si>
    <t>NYK</t>
    <phoneticPr fontId="1" type="noConversion"/>
  </si>
  <si>
    <t>DEN</t>
    <phoneticPr fontId="1" type="noConversion"/>
  </si>
  <si>
    <t>TOR</t>
    <phoneticPr fontId="1" type="noConversion"/>
  </si>
  <si>
    <t>HOU</t>
    <phoneticPr fontId="1" type="noConversion"/>
  </si>
  <si>
    <t>NO</t>
    <phoneticPr fontId="1" type="noConversion"/>
  </si>
  <si>
    <t>PHO</t>
    <phoneticPr fontId="1" type="noConversion"/>
  </si>
  <si>
    <t>CLE</t>
    <phoneticPr fontId="1" type="noConversion"/>
  </si>
  <si>
    <t>ORL</t>
    <phoneticPr fontId="1" type="noConversion"/>
  </si>
  <si>
    <t>DET</t>
    <phoneticPr fontId="1" type="noConversion"/>
  </si>
  <si>
    <t>IND</t>
    <phoneticPr fontId="1" type="noConversion"/>
  </si>
  <si>
    <t>CHA</t>
    <phoneticPr fontId="1" type="noConversion"/>
  </si>
  <si>
    <t>BKN</t>
    <phoneticPr fontId="1" type="noConversion"/>
  </si>
  <si>
    <t>BOS</t>
    <phoneticPr fontId="1" type="noConversion"/>
  </si>
  <si>
    <t>CHI</t>
    <phoneticPr fontId="1" type="noConversion"/>
  </si>
  <si>
    <t>GS</t>
    <phoneticPr fontId="1" type="noConversion"/>
  </si>
  <si>
    <t>MIA</t>
    <phoneticPr fontId="1" type="noConversion"/>
  </si>
  <si>
    <t>WAS</t>
    <phoneticPr fontId="1" type="noConversion"/>
  </si>
  <si>
    <t>OKC</t>
    <phoneticPr fontId="1" type="noConversion"/>
  </si>
  <si>
    <t>MIN</t>
    <phoneticPr fontId="1" type="noConversion"/>
  </si>
  <si>
    <t>MIL</t>
    <phoneticPr fontId="1" type="noConversion"/>
  </si>
  <si>
    <t>LAC</t>
    <phoneticPr fontId="1" type="noConversion"/>
  </si>
  <si>
    <t>SAS</t>
    <phoneticPr fontId="1" type="noConversion"/>
  </si>
  <si>
    <t>SAC</t>
    <phoneticPr fontId="1" type="noConversion"/>
  </si>
  <si>
    <t>POR</t>
    <phoneticPr fontId="1" type="noConversion"/>
  </si>
  <si>
    <t>LAL</t>
    <phoneticPr fontId="1" type="noConversion"/>
  </si>
  <si>
    <t>DAL</t>
  </si>
  <si>
    <t>NO</t>
  </si>
  <si>
    <t>NYK</t>
  </si>
  <si>
    <t>IND</t>
  </si>
  <si>
    <t>PHI</t>
  </si>
  <si>
    <t>CLE</t>
  </si>
  <si>
    <t>HOU</t>
  </si>
  <si>
    <t>PHO</t>
  </si>
  <si>
    <t>UTA</t>
  </si>
  <si>
    <t>MEM</t>
  </si>
  <si>
    <t>BKN</t>
  </si>
  <si>
    <t>DEN</t>
  </si>
  <si>
    <t>CHA</t>
  </si>
  <si>
    <t>ATL</t>
  </si>
  <si>
    <t>MIA</t>
  </si>
  <si>
    <t>CHI</t>
  </si>
  <si>
    <t>TOR</t>
  </si>
  <si>
    <t>WAS</t>
  </si>
  <si>
    <t>LAC</t>
  </si>
  <si>
    <t>SAC</t>
  </si>
  <si>
    <t>POR</t>
  </si>
  <si>
    <t>OKC</t>
  </si>
  <si>
    <t>LAL</t>
  </si>
  <si>
    <t>MIN</t>
  </si>
  <si>
    <t>BOS</t>
  </si>
  <si>
    <t>DET</t>
  </si>
  <si>
    <t>MIL</t>
  </si>
  <si>
    <t>ORL</t>
  </si>
  <si>
    <t>GS</t>
  </si>
  <si>
    <t>SAS</t>
  </si>
  <si>
    <t/>
  </si>
  <si>
    <t>CHA</t>
    <phoneticPr fontId="1" type="noConversion"/>
  </si>
  <si>
    <t>NYK</t>
    <phoneticPr fontId="1" type="noConversion"/>
  </si>
  <si>
    <t>PHO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</si>
</sst>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h:mm;@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76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2" borderId="0" xfId="0" applyNumberFormat="1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20" fontId="0" fillId="4" borderId="0" xfId="0" applyNumberFormat="1" applyFill="1">
      <alignment vertical="center"/>
    </xf>
    <xf numFmtId="9" fontId="0" fillId="5" borderId="0" xfId="1" applyFont="1" applyFill="1">
      <alignment vertical="center"/>
    </xf>
    <xf numFmtId="9" fontId="0" fillId="2" borderId="0" xfId="1" applyFont="1" applyFill="1">
      <alignment vertical="center"/>
    </xf>
    <xf numFmtId="20" fontId="0" fillId="6" borderId="0" xfId="0" applyNumberFormat="1" applyFill="1">
      <alignment vertical="center"/>
    </xf>
    <xf numFmtId="0" fontId="0" fillId="2" borderId="0" xfId="0" applyFill="1">
      <alignment vertical="center"/>
    </xf>
    <xf numFmtId="0" fontId="0" fillId="0" borderId="0" xfId="0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4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9" borderId="0" xfId="0" applyFill="1">
      <alignment vertical="center"/>
    </xf>
    <xf numFmtId="176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76" fontId="0" fillId="4" borderId="0" xfId="0" applyNumberFormat="1" applyFill="1">
      <alignment vertical="center"/>
    </xf>
    <xf numFmtId="176" fontId="0" fillId="6" borderId="0" xfId="0" applyNumberFormat="1" applyFill="1">
      <alignment vertical="center"/>
    </xf>
    <xf numFmtId="0" fontId="0" fillId="10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39"/>
  <sheetViews>
    <sheetView tabSelected="1" zoomScale="85" zoomScaleNormal="85" workbookViewId="0">
      <pane xSplit="1" ySplit="1" topLeftCell="B427" activePane="bottomRight" state="frozen"/>
      <selection pane="topRight" activeCell="B1" sqref="B1"/>
      <selection pane="bottomLeft" activeCell="A2" sqref="A2"/>
      <selection pane="bottomRight" activeCell="J444" sqref="J444"/>
    </sheetView>
  </sheetViews>
  <sheetFormatPr defaultRowHeight="16.5" x14ac:dyDescent="0.3"/>
  <cols>
    <col min="1" max="1" width="7.5" bestFit="1" customWidth="1"/>
    <col min="2" max="2" width="10" style="3" bestFit="1" customWidth="1"/>
    <col min="3" max="3" width="6.375" bestFit="1" customWidth="1"/>
    <col min="4" max="4" width="5.75" bestFit="1" customWidth="1"/>
    <col min="5" max="8" width="4.75" bestFit="1" customWidth="1"/>
    <col min="9" max="9" width="4.375" bestFit="1" customWidth="1"/>
    <col min="10" max="13" width="4.625" bestFit="1" customWidth="1"/>
    <col min="14" max="14" width="4.625" style="2" customWidth="1"/>
    <col min="15" max="15" width="5" bestFit="1" customWidth="1"/>
    <col min="16" max="16" width="4.875" bestFit="1" customWidth="1"/>
    <col min="17" max="20" width="5.5" bestFit="1" customWidth="1"/>
    <col min="21" max="24" width="5.875" bestFit="1" customWidth="1"/>
    <col min="25" max="25" width="6.75" customWidth="1"/>
    <col min="26" max="26" width="8.25" customWidth="1"/>
    <col min="27" max="27" width="13.5" bestFit="1" customWidth="1"/>
  </cols>
  <sheetData>
    <row r="1" spans="1:30" ht="17.100000000000001" x14ac:dyDescent="0.45">
      <c r="A1" s="2" t="s">
        <v>0</v>
      </c>
      <c r="B1" s="3" t="s">
        <v>55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24</v>
      </c>
      <c r="O1" s="2" t="s">
        <v>12</v>
      </c>
      <c r="P1" s="2" t="s">
        <v>13</v>
      </c>
      <c r="Q1" s="2" t="s">
        <v>14</v>
      </c>
      <c r="R1" s="2" t="s">
        <v>15</v>
      </c>
      <c r="S1" s="2" t="s">
        <v>16</v>
      </c>
      <c r="T1" s="2" t="s">
        <v>17</v>
      </c>
      <c r="U1" s="2" t="s">
        <v>18</v>
      </c>
      <c r="V1" s="2" t="s">
        <v>19</v>
      </c>
      <c r="W1" s="2" t="s">
        <v>20</v>
      </c>
      <c r="X1" s="2" t="s">
        <v>21</v>
      </c>
      <c r="Y1" s="2" t="s">
        <v>22</v>
      </c>
      <c r="Z1" s="2" t="s">
        <v>23</v>
      </c>
      <c r="AA1" t="s">
        <v>67</v>
      </c>
    </row>
    <row r="2" spans="1:30" ht="17.100000000000001" x14ac:dyDescent="0.45">
      <c r="A2">
        <v>191023</v>
      </c>
      <c r="B2" s="1">
        <v>0.375</v>
      </c>
      <c r="C2" t="s">
        <v>28</v>
      </c>
      <c r="D2" t="s">
        <v>27</v>
      </c>
      <c r="E2">
        <v>27</v>
      </c>
      <c r="F2">
        <v>29</v>
      </c>
      <c r="G2">
        <v>32</v>
      </c>
      <c r="H2">
        <v>29</v>
      </c>
      <c r="I2">
        <v>13</v>
      </c>
      <c r="J2">
        <v>30</v>
      </c>
      <c r="K2">
        <v>31</v>
      </c>
      <c r="L2">
        <v>25</v>
      </c>
      <c r="M2">
        <v>31</v>
      </c>
      <c r="N2" s="2">
        <v>5</v>
      </c>
      <c r="O2">
        <f>SUM(E2:I2)</f>
        <v>130</v>
      </c>
      <c r="P2">
        <f>SUM(J2:N2)</f>
        <v>122</v>
      </c>
      <c r="Q2" s="3" t="str">
        <f>IF(E2=J2,"TT",IF(E2&gt;J2,"HW","HL"))</f>
        <v>HL</v>
      </c>
      <c r="R2" s="3" t="str">
        <f t="shared" ref="R2:T2" si="0">IF(F2=K2,"TT",IF(F2&gt;K2,"HW","HL"))</f>
        <v>HL</v>
      </c>
      <c r="S2" s="3" t="str">
        <f t="shared" si="0"/>
        <v>HW</v>
      </c>
      <c r="T2" s="3" t="str">
        <f t="shared" si="0"/>
        <v>HL</v>
      </c>
      <c r="U2" t="str">
        <f>IF(SUM(E2,J2)=$Z2,"T",IF(SUM(E2,J2)&gt;$Z2,"O","U"))</f>
        <v>U</v>
      </c>
      <c r="V2" s="3" t="str">
        <f t="shared" ref="V2:X2" si="1">IF(SUM(F2,K2)=$Z2,"T",IF(SUM(F2,K2)&gt;$Z2,"O","U"))</f>
        <v>O</v>
      </c>
      <c r="W2" s="3" t="str">
        <f t="shared" si="1"/>
        <v>U</v>
      </c>
      <c r="X2" s="3" t="str">
        <f t="shared" si="1"/>
        <v>O</v>
      </c>
      <c r="Z2">
        <v>59</v>
      </c>
      <c r="AA2" t="str">
        <f t="shared" ref="AA2:AA36" si="2">C2&amp;"/"&amp;D2</f>
        <v>TOR/NO</v>
      </c>
      <c r="AD2" s="3"/>
    </row>
    <row r="3" spans="1:30" ht="17.100000000000001" x14ac:dyDescent="0.45">
      <c r="A3" s="2">
        <v>191023</v>
      </c>
      <c r="B3" s="1">
        <v>0.47916666666666669</v>
      </c>
      <c r="C3" t="s">
        <v>25</v>
      </c>
      <c r="D3" t="s">
        <v>26</v>
      </c>
      <c r="E3">
        <v>22</v>
      </c>
      <c r="F3">
        <v>40</v>
      </c>
      <c r="G3">
        <v>23</v>
      </c>
      <c r="H3">
        <v>27</v>
      </c>
      <c r="J3">
        <v>25</v>
      </c>
      <c r="K3">
        <v>29</v>
      </c>
      <c r="L3">
        <v>31</v>
      </c>
      <c r="M3">
        <v>17</v>
      </c>
      <c r="O3" s="2">
        <f t="shared" ref="O3:O6" si="3">SUM(E3:I3)</f>
        <v>112</v>
      </c>
      <c r="P3" s="2">
        <f t="shared" ref="P3:P6" si="4">SUM(J3:N3)</f>
        <v>102</v>
      </c>
      <c r="Q3" s="3" t="str">
        <f>IF(E3=J3,"TT",IF(E3&gt;J3,"HW","HL"))</f>
        <v>HL</v>
      </c>
      <c r="R3" s="3" t="str">
        <f t="shared" ref="R3" si="5">IF(F3=K3,"TT",IF(F3&gt;K3,"HW","HL"))</f>
        <v>HW</v>
      </c>
      <c r="S3" s="3" t="str">
        <f t="shared" ref="S3" si="6">IF(G3=L3,"TT",IF(G3&gt;L3,"HW","HL"))</f>
        <v>HL</v>
      </c>
      <c r="T3" s="3" t="str">
        <f t="shared" ref="T3" si="7">IF(H3=M3,"TT",IF(H3&gt;M3,"HW","HL"))</f>
        <v>HW</v>
      </c>
      <c r="U3" s="3" t="str">
        <f>IF(SUM(E3,J3)=$Z3,"T",IF(SUM(E3,J3)&gt;$Z3,"O","U"))</f>
        <v>U</v>
      </c>
      <c r="V3" s="3" t="str">
        <f t="shared" ref="V3" si="8">IF(SUM(F3,K3)=$Z3,"T",IF(SUM(F3,K3)&gt;$Z3,"O","U"))</f>
        <v>O</v>
      </c>
      <c r="W3" s="3" t="str">
        <f t="shared" ref="W3" si="9">IF(SUM(G3,L3)=$Z3,"T",IF(SUM(G3,L3)&gt;$Z3,"O","U"))</f>
        <v>U</v>
      </c>
      <c r="X3" s="3" t="str">
        <f t="shared" ref="X3" si="10">IF(SUM(H3,M3)=$Z3,"T",IF(SUM(H3,M3)&gt;$Z3,"O","U"))</f>
        <v>U</v>
      </c>
      <c r="Z3">
        <v>57.5</v>
      </c>
      <c r="AA3" s="3" t="str">
        <f t="shared" si="2"/>
        <v>LAC/LAL</v>
      </c>
    </row>
    <row r="4" spans="1:30" ht="17.100000000000001" x14ac:dyDescent="0.45">
      <c r="A4">
        <v>191024</v>
      </c>
      <c r="B4" s="1">
        <v>0.33333333333333331</v>
      </c>
      <c r="C4" t="s">
        <v>30</v>
      </c>
      <c r="D4" t="s">
        <v>29</v>
      </c>
      <c r="E4">
        <v>22</v>
      </c>
      <c r="F4">
        <v>34</v>
      </c>
      <c r="G4">
        <v>37</v>
      </c>
      <c r="H4">
        <v>22</v>
      </c>
      <c r="I4">
        <v>11</v>
      </c>
      <c r="J4">
        <v>33</v>
      </c>
      <c r="K4">
        <v>35</v>
      </c>
      <c r="L4">
        <v>20</v>
      </c>
      <c r="M4">
        <v>27</v>
      </c>
      <c r="N4" s="2">
        <v>12</v>
      </c>
      <c r="O4" s="2">
        <f t="shared" si="3"/>
        <v>126</v>
      </c>
      <c r="P4" s="2">
        <f t="shared" si="4"/>
        <v>127</v>
      </c>
      <c r="Q4" s="3" t="str">
        <f t="shared" ref="Q4:Q13" si="11">IF(E4=J4,"TT",IF(E4&gt;J4,"HW","HL"))</f>
        <v>HL</v>
      </c>
      <c r="R4" s="3" t="str">
        <f t="shared" ref="R4:R13" si="12">IF(F4=K4,"TT",IF(F4&gt;K4,"HW","HL"))</f>
        <v>HL</v>
      </c>
      <c r="S4" s="3" t="str">
        <f t="shared" ref="S4:S13" si="13">IF(G4=L4,"TT",IF(G4&gt;L4,"HW","HL"))</f>
        <v>HW</v>
      </c>
      <c r="T4" s="3" t="str">
        <f t="shared" ref="T4:T13" si="14">IF(H4=M4,"TT",IF(H4&gt;M4,"HW","HL"))</f>
        <v>HL</v>
      </c>
      <c r="U4" s="3" t="str">
        <f t="shared" ref="U4:U13" si="15">IF(SUM(E4,J4)=$Z4,"T",IF(SUM(E4,J4)&gt;$Z4,"O","U"))</f>
        <v>U</v>
      </c>
      <c r="V4" s="3" t="str">
        <f t="shared" ref="V4:V13" si="16">IF(SUM(F4,K4)=$Z4,"T",IF(SUM(F4,K4)&gt;$Z4,"O","U"))</f>
        <v>O</v>
      </c>
      <c r="W4" s="3" t="str">
        <f t="shared" ref="W4:W13" si="17">IF(SUM(G4,L4)=$Z4,"T",IF(SUM(G4,L4)&gt;$Z4,"O","U"))</f>
        <v>U</v>
      </c>
      <c r="X4" s="3" t="str">
        <f t="shared" ref="X4:X13" si="18">IF(SUM(H4,M4)=$Z4,"T",IF(SUM(H4,M4)&gt;$Z4,"O","U"))</f>
        <v>U</v>
      </c>
      <c r="Z4">
        <v>58.5</v>
      </c>
      <c r="AA4" s="3" t="str">
        <f t="shared" si="2"/>
        <v>BKN/MIN</v>
      </c>
    </row>
    <row r="5" spans="1:30" ht="17.100000000000001" x14ac:dyDescent="0.45">
      <c r="A5" s="3">
        <v>191024</v>
      </c>
      <c r="C5" t="s">
        <v>31</v>
      </c>
      <c r="D5" t="s">
        <v>32</v>
      </c>
      <c r="E5">
        <v>37</v>
      </c>
      <c r="F5">
        <v>26</v>
      </c>
      <c r="G5">
        <v>33</v>
      </c>
      <c r="H5">
        <v>30</v>
      </c>
      <c r="J5">
        <v>28</v>
      </c>
      <c r="K5">
        <v>27</v>
      </c>
      <c r="L5">
        <v>40</v>
      </c>
      <c r="M5">
        <v>30</v>
      </c>
      <c r="O5" s="2">
        <f t="shared" si="3"/>
        <v>126</v>
      </c>
      <c r="P5" s="2">
        <f t="shared" si="4"/>
        <v>125</v>
      </c>
      <c r="Q5" s="3" t="str">
        <f t="shared" si="11"/>
        <v>HW</v>
      </c>
      <c r="R5" s="3" t="str">
        <f t="shared" si="12"/>
        <v>HL</v>
      </c>
      <c r="S5" s="3" t="str">
        <f t="shared" si="13"/>
        <v>HL</v>
      </c>
      <c r="T5" s="3" t="str">
        <f t="shared" si="14"/>
        <v>TT</v>
      </c>
      <c r="U5" s="3" t="str">
        <f t="shared" si="15"/>
        <v>O</v>
      </c>
      <c r="V5" s="3" t="str">
        <f t="shared" si="16"/>
        <v>T</v>
      </c>
      <c r="W5" s="3" t="str">
        <f t="shared" si="17"/>
        <v>O</v>
      </c>
      <c r="X5" s="3" t="str">
        <f t="shared" si="18"/>
        <v>O</v>
      </c>
      <c r="Z5">
        <v>53</v>
      </c>
      <c r="AA5" s="3" t="str">
        <f t="shared" si="2"/>
        <v>CHA/CHI</v>
      </c>
    </row>
    <row r="6" spans="1:30" ht="17.100000000000001" x14ac:dyDescent="0.45">
      <c r="A6" s="3">
        <v>191024</v>
      </c>
      <c r="C6" t="s">
        <v>33</v>
      </c>
      <c r="D6" t="s">
        <v>34</v>
      </c>
      <c r="E6">
        <v>24</v>
      </c>
      <c r="F6">
        <v>38</v>
      </c>
      <c r="G6">
        <v>29</v>
      </c>
      <c r="H6">
        <v>17</v>
      </c>
      <c r="J6">
        <v>25</v>
      </c>
      <c r="K6">
        <v>23</v>
      </c>
      <c r="L6">
        <v>20</v>
      </c>
      <c r="M6">
        <v>32</v>
      </c>
      <c r="O6" s="2">
        <f t="shared" si="3"/>
        <v>108</v>
      </c>
      <c r="P6" s="2">
        <f t="shared" si="4"/>
        <v>100</v>
      </c>
      <c r="Q6" s="3" t="str">
        <f t="shared" si="11"/>
        <v>HL</v>
      </c>
      <c r="R6" s="3" t="str">
        <f t="shared" si="12"/>
        <v>HW</v>
      </c>
      <c r="S6" s="3" t="str">
        <f t="shared" si="13"/>
        <v>HW</v>
      </c>
      <c r="T6" s="3" t="str">
        <f t="shared" si="14"/>
        <v>HL</v>
      </c>
      <c r="U6" s="3" t="str">
        <f t="shared" si="15"/>
        <v>U</v>
      </c>
      <c r="V6" s="3" t="str">
        <f t="shared" si="16"/>
        <v>O</v>
      </c>
      <c r="W6" s="3" t="str">
        <f t="shared" si="17"/>
        <v>U</v>
      </c>
      <c r="X6" s="3" t="str">
        <f t="shared" si="18"/>
        <v>U</v>
      </c>
      <c r="Z6">
        <v>57.5</v>
      </c>
      <c r="AA6" s="3" t="str">
        <f t="shared" si="2"/>
        <v>DAL/WAS</v>
      </c>
    </row>
    <row r="7" spans="1:30" ht="17.100000000000001" x14ac:dyDescent="0.45">
      <c r="A7" s="3">
        <v>191024</v>
      </c>
      <c r="B7" s="1">
        <v>0.33333333333333331</v>
      </c>
      <c r="C7" t="s">
        <v>35</v>
      </c>
      <c r="D7" t="s">
        <v>36</v>
      </c>
      <c r="E7">
        <v>24</v>
      </c>
      <c r="F7">
        <v>31</v>
      </c>
      <c r="G7">
        <v>31</v>
      </c>
      <c r="H7">
        <v>24</v>
      </c>
      <c r="J7">
        <v>27</v>
      </c>
      <c r="K7">
        <v>27</v>
      </c>
      <c r="L7">
        <v>29</v>
      </c>
      <c r="M7">
        <v>36</v>
      </c>
      <c r="O7" s="3">
        <f t="shared" ref="O7:O14" si="19">SUM(E7:I7)</f>
        <v>110</v>
      </c>
      <c r="P7" s="3">
        <f t="shared" ref="P7:P14" si="20">SUM(J7:N7)</f>
        <v>119</v>
      </c>
      <c r="Q7" s="3" t="str">
        <f t="shared" si="11"/>
        <v>HL</v>
      </c>
      <c r="R7" s="3" t="str">
        <f t="shared" si="12"/>
        <v>HW</v>
      </c>
      <c r="S7" s="3" t="str">
        <f t="shared" si="13"/>
        <v>HW</v>
      </c>
      <c r="T7" s="3" t="str">
        <f t="shared" si="14"/>
        <v>HL</v>
      </c>
      <c r="U7" s="3" t="str">
        <f t="shared" si="15"/>
        <v>U</v>
      </c>
      <c r="V7" s="3" t="str">
        <f t="shared" si="16"/>
        <v>O</v>
      </c>
      <c r="W7" s="3" t="str">
        <f t="shared" si="17"/>
        <v>O</v>
      </c>
      <c r="X7" s="3" t="str">
        <f t="shared" si="18"/>
        <v>O</v>
      </c>
      <c r="Z7">
        <v>54</v>
      </c>
      <c r="AA7" s="3" t="str">
        <f t="shared" si="2"/>
        <v>IND/DET</v>
      </c>
    </row>
    <row r="8" spans="1:30" ht="17.100000000000001" x14ac:dyDescent="0.45">
      <c r="A8" s="3">
        <v>191024</v>
      </c>
      <c r="B8" s="1"/>
      <c r="C8" t="s">
        <v>37</v>
      </c>
      <c r="D8" t="s">
        <v>38</v>
      </c>
      <c r="E8">
        <v>24</v>
      </c>
      <c r="F8">
        <v>30</v>
      </c>
      <c r="G8">
        <v>29</v>
      </c>
      <c r="H8">
        <v>37</v>
      </c>
      <c r="J8">
        <v>32</v>
      </c>
      <c r="K8">
        <v>28</v>
      </c>
      <c r="L8">
        <v>24</v>
      </c>
      <c r="M8">
        <v>17</v>
      </c>
      <c r="O8" s="3">
        <f t="shared" si="19"/>
        <v>120</v>
      </c>
      <c r="P8" s="3">
        <f t="shared" si="20"/>
        <v>101</v>
      </c>
      <c r="Q8" s="3" t="str">
        <f t="shared" si="11"/>
        <v>HL</v>
      </c>
      <c r="R8" s="3" t="str">
        <f t="shared" si="12"/>
        <v>HW</v>
      </c>
      <c r="S8" s="3" t="str">
        <f t="shared" si="13"/>
        <v>HW</v>
      </c>
      <c r="T8" s="3" t="str">
        <f t="shared" si="14"/>
        <v>HW</v>
      </c>
      <c r="U8" s="3" t="str">
        <f t="shared" si="15"/>
        <v>O</v>
      </c>
      <c r="V8" s="3" t="str">
        <f t="shared" si="16"/>
        <v>O</v>
      </c>
      <c r="W8" s="3" t="str">
        <f t="shared" si="17"/>
        <v>U</v>
      </c>
      <c r="X8" s="3" t="str">
        <f t="shared" si="18"/>
        <v>U</v>
      </c>
      <c r="Z8">
        <v>54.5</v>
      </c>
      <c r="AA8" s="3" t="str">
        <f t="shared" si="2"/>
        <v>MIA/MEM</v>
      </c>
    </row>
    <row r="9" spans="1:30" ht="17.100000000000001" x14ac:dyDescent="0.45">
      <c r="A9" s="3">
        <v>191024</v>
      </c>
      <c r="B9" s="1"/>
      <c r="C9" t="s">
        <v>39</v>
      </c>
      <c r="D9" t="s">
        <v>40</v>
      </c>
      <c r="E9">
        <v>28</v>
      </c>
      <c r="F9">
        <v>27</v>
      </c>
      <c r="G9">
        <v>16</v>
      </c>
      <c r="H9">
        <v>23</v>
      </c>
      <c r="J9">
        <v>24</v>
      </c>
      <c r="K9">
        <v>17</v>
      </c>
      <c r="L9">
        <v>24</v>
      </c>
      <c r="M9">
        <v>20</v>
      </c>
      <c r="O9" s="3">
        <f t="shared" si="19"/>
        <v>94</v>
      </c>
      <c r="P9" s="3">
        <f t="shared" si="20"/>
        <v>85</v>
      </c>
      <c r="Q9" s="3" t="str">
        <f t="shared" si="11"/>
        <v>HW</v>
      </c>
      <c r="R9" s="3" t="str">
        <f t="shared" si="12"/>
        <v>HW</v>
      </c>
      <c r="S9" s="3" t="str">
        <f t="shared" si="13"/>
        <v>HL</v>
      </c>
      <c r="T9" s="3" t="str">
        <f t="shared" si="14"/>
        <v>HW</v>
      </c>
      <c r="U9" s="3" t="str">
        <f t="shared" si="15"/>
        <v>U</v>
      </c>
      <c r="V9" s="3" t="str">
        <f t="shared" si="16"/>
        <v>U</v>
      </c>
      <c r="W9" s="3" t="str">
        <f t="shared" si="17"/>
        <v>U</v>
      </c>
      <c r="X9" s="3" t="str">
        <f t="shared" si="18"/>
        <v>U</v>
      </c>
      <c r="Z9">
        <v>53</v>
      </c>
      <c r="AA9" s="3" t="str">
        <f t="shared" si="2"/>
        <v>ORL/CLE</v>
      </c>
    </row>
    <row r="10" spans="1:30" ht="17.100000000000001" x14ac:dyDescent="0.45">
      <c r="A10" s="3">
        <v>191024</v>
      </c>
      <c r="B10" s="1"/>
      <c r="C10" t="s">
        <v>41</v>
      </c>
      <c r="D10" t="s">
        <v>42</v>
      </c>
      <c r="E10">
        <v>20</v>
      </c>
      <c r="F10">
        <v>29</v>
      </c>
      <c r="G10">
        <v>28</v>
      </c>
      <c r="H10">
        <v>30</v>
      </c>
      <c r="J10">
        <v>25</v>
      </c>
      <c r="K10">
        <v>23</v>
      </c>
      <c r="L10">
        <v>20</v>
      </c>
      <c r="M10">
        <v>25</v>
      </c>
      <c r="O10" s="3">
        <f t="shared" si="19"/>
        <v>107</v>
      </c>
      <c r="P10" s="3">
        <f t="shared" si="20"/>
        <v>93</v>
      </c>
      <c r="Q10" s="3" t="str">
        <f t="shared" si="11"/>
        <v>HL</v>
      </c>
      <c r="R10" s="3" t="str">
        <f t="shared" si="12"/>
        <v>HW</v>
      </c>
      <c r="S10" s="3" t="str">
        <f t="shared" si="13"/>
        <v>HW</v>
      </c>
      <c r="T10" s="3" t="str">
        <f t="shared" si="14"/>
        <v>HW</v>
      </c>
      <c r="U10" s="3" t="str">
        <f t="shared" si="15"/>
        <v>U</v>
      </c>
      <c r="V10" s="3" t="str">
        <f t="shared" si="16"/>
        <v>T</v>
      </c>
      <c r="W10" s="3" t="str">
        <f t="shared" si="17"/>
        <v>U</v>
      </c>
      <c r="X10" s="3" t="str">
        <f t="shared" si="18"/>
        <v>O</v>
      </c>
      <c r="Z10">
        <v>52</v>
      </c>
      <c r="AA10" s="3" t="str">
        <f t="shared" si="2"/>
        <v>PHI/BOS</v>
      </c>
    </row>
    <row r="11" spans="1:30" ht="17.100000000000001" x14ac:dyDescent="0.45">
      <c r="A11" s="3">
        <v>191024</v>
      </c>
      <c r="C11" t="s">
        <v>43</v>
      </c>
      <c r="D11" t="s">
        <v>44</v>
      </c>
      <c r="E11">
        <v>25</v>
      </c>
      <c r="F11">
        <v>29</v>
      </c>
      <c r="G11">
        <v>32</v>
      </c>
      <c r="H11">
        <v>38</v>
      </c>
      <c r="J11">
        <v>29</v>
      </c>
      <c r="K11">
        <v>30</v>
      </c>
      <c r="L11">
        <v>17</v>
      </c>
      <c r="M11">
        <v>19</v>
      </c>
      <c r="O11" s="3">
        <f t="shared" si="19"/>
        <v>124</v>
      </c>
      <c r="P11" s="3">
        <f t="shared" si="20"/>
        <v>95</v>
      </c>
      <c r="Q11" s="3" t="str">
        <f t="shared" si="11"/>
        <v>HL</v>
      </c>
      <c r="R11" s="3" t="str">
        <f t="shared" si="12"/>
        <v>HL</v>
      </c>
      <c r="S11" s="3" t="str">
        <f t="shared" si="13"/>
        <v>HW</v>
      </c>
      <c r="T11" s="3" t="str">
        <f t="shared" si="14"/>
        <v>HW</v>
      </c>
      <c r="U11" s="3" t="str">
        <f t="shared" si="15"/>
        <v>U</v>
      </c>
      <c r="V11" s="3" t="str">
        <f t="shared" si="16"/>
        <v>U</v>
      </c>
      <c r="W11" s="3" t="str">
        <f t="shared" si="17"/>
        <v>U</v>
      </c>
      <c r="X11" s="3" t="str">
        <f t="shared" si="18"/>
        <v>U</v>
      </c>
      <c r="Z11">
        <v>59.5</v>
      </c>
      <c r="AA11" s="3" t="str">
        <f t="shared" si="2"/>
        <v>PHO/SAC</v>
      </c>
    </row>
    <row r="12" spans="1:30" ht="17.100000000000001" x14ac:dyDescent="0.45">
      <c r="A12" s="3">
        <v>191024</v>
      </c>
      <c r="C12" t="s">
        <v>45</v>
      </c>
      <c r="D12" t="s">
        <v>46</v>
      </c>
      <c r="E12">
        <v>27</v>
      </c>
      <c r="F12">
        <v>23</v>
      </c>
      <c r="G12">
        <v>24</v>
      </c>
      <c r="H12">
        <v>26</v>
      </c>
      <c r="J12">
        <v>24</v>
      </c>
      <c r="K12">
        <v>30</v>
      </c>
      <c r="L12">
        <v>19</v>
      </c>
      <c r="M12">
        <v>35</v>
      </c>
      <c r="O12" s="3">
        <f t="shared" si="19"/>
        <v>100</v>
      </c>
      <c r="P12" s="3">
        <f t="shared" si="20"/>
        <v>108</v>
      </c>
      <c r="Q12" s="3" t="str">
        <f t="shared" si="11"/>
        <v>HW</v>
      </c>
      <c r="R12" s="3" t="str">
        <f t="shared" si="12"/>
        <v>HL</v>
      </c>
      <c r="S12" s="3" t="str">
        <f t="shared" si="13"/>
        <v>HW</v>
      </c>
      <c r="T12" s="3" t="str">
        <f t="shared" si="14"/>
        <v>HL</v>
      </c>
      <c r="U12" s="3" t="str">
        <f t="shared" si="15"/>
        <v>U</v>
      </c>
      <c r="V12" s="3" t="str">
        <f t="shared" si="16"/>
        <v>U</v>
      </c>
      <c r="W12" s="3" t="str">
        <f t="shared" si="17"/>
        <v>U</v>
      </c>
      <c r="X12" s="3" t="str">
        <f t="shared" si="18"/>
        <v>O</v>
      </c>
      <c r="Z12">
        <v>56.5</v>
      </c>
      <c r="AA12" s="3" t="str">
        <f t="shared" si="2"/>
        <v>POR/DEN</v>
      </c>
    </row>
    <row r="13" spans="1:30" ht="17.100000000000001" x14ac:dyDescent="0.45">
      <c r="A13" s="3">
        <v>191024</v>
      </c>
      <c r="C13" t="s">
        <v>56</v>
      </c>
      <c r="D13" t="s">
        <v>47</v>
      </c>
      <c r="E13">
        <v>22</v>
      </c>
      <c r="F13">
        <v>37</v>
      </c>
      <c r="G13">
        <v>24</v>
      </c>
      <c r="H13">
        <v>37</v>
      </c>
      <c r="J13">
        <v>15</v>
      </c>
      <c r="K13">
        <v>36</v>
      </c>
      <c r="L13">
        <v>33</v>
      </c>
      <c r="M13">
        <v>27</v>
      </c>
      <c r="O13" s="3">
        <f t="shared" si="19"/>
        <v>120</v>
      </c>
      <c r="P13" s="3">
        <f t="shared" si="20"/>
        <v>111</v>
      </c>
      <c r="Q13" s="3" t="str">
        <f t="shared" si="11"/>
        <v>HW</v>
      </c>
      <c r="R13" s="3" t="str">
        <f t="shared" si="12"/>
        <v>HW</v>
      </c>
      <c r="S13" s="3" t="str">
        <f t="shared" si="13"/>
        <v>HL</v>
      </c>
      <c r="T13" s="3" t="str">
        <f t="shared" si="14"/>
        <v>HW</v>
      </c>
      <c r="U13" s="3" t="str">
        <f t="shared" si="15"/>
        <v>U</v>
      </c>
      <c r="V13" s="3" t="str">
        <f t="shared" si="16"/>
        <v>O</v>
      </c>
      <c r="W13" s="3" t="str">
        <f t="shared" si="17"/>
        <v>O</v>
      </c>
      <c r="X13" s="3" t="str">
        <f t="shared" si="18"/>
        <v>O</v>
      </c>
      <c r="Z13">
        <v>55.5</v>
      </c>
      <c r="AA13" s="3" t="str">
        <f t="shared" si="2"/>
        <v>SAS/NYK</v>
      </c>
    </row>
    <row r="14" spans="1:30" ht="17.100000000000001" x14ac:dyDescent="0.45">
      <c r="A14" s="3">
        <v>191024</v>
      </c>
      <c r="C14" t="s">
        <v>48</v>
      </c>
      <c r="D14" t="s">
        <v>49</v>
      </c>
      <c r="E14">
        <v>23</v>
      </c>
      <c r="F14">
        <v>26</v>
      </c>
      <c r="G14">
        <v>19</v>
      </c>
      <c r="H14">
        <v>32</v>
      </c>
      <c r="J14">
        <v>12</v>
      </c>
      <c r="K14">
        <v>34</v>
      </c>
      <c r="L14">
        <v>28</v>
      </c>
      <c r="M14">
        <v>21</v>
      </c>
      <c r="O14" s="3">
        <f t="shared" si="19"/>
        <v>100</v>
      </c>
      <c r="P14" s="3">
        <f t="shared" si="20"/>
        <v>95</v>
      </c>
      <c r="Q14" s="3" t="str">
        <f t="shared" ref="Q14" si="21">IF(E14=J14,"TT",IF(E14&gt;J14,"HW","HL"))</f>
        <v>HW</v>
      </c>
      <c r="R14" s="3" t="str">
        <f t="shared" ref="R14" si="22">IF(F14=K14,"TT",IF(F14&gt;K14,"HW","HL"))</f>
        <v>HL</v>
      </c>
      <c r="S14" s="3" t="str">
        <f t="shared" ref="S14" si="23">IF(G14=L14,"TT",IF(G14&gt;L14,"HW","HL"))</f>
        <v>HL</v>
      </c>
      <c r="T14" s="3" t="str">
        <f t="shared" ref="T14" si="24">IF(H14=M14,"TT",IF(H14&gt;M14,"HW","HL"))</f>
        <v>HW</v>
      </c>
      <c r="U14" s="3" t="str">
        <f t="shared" ref="U14" si="25">IF(SUM(E14,J14)=$Z14,"T",IF(SUM(E14,J14)&gt;$Z14,"O","U"))</f>
        <v>U</v>
      </c>
      <c r="V14" s="3" t="str">
        <f t="shared" ref="V14" si="26">IF(SUM(F14,K14)=$Z14,"T",IF(SUM(F14,K14)&gt;$Z14,"O","U"))</f>
        <v>O</v>
      </c>
      <c r="W14" s="3" t="str">
        <f t="shared" ref="W14" si="27">IF(SUM(G14,L14)=$Z14,"T",IF(SUM(G14,L14)&gt;$Z14,"O","U"))</f>
        <v>U</v>
      </c>
      <c r="X14" s="3" t="str">
        <f t="shared" ref="X14" si="28">IF(SUM(H14,M14)=$Z14,"T",IF(SUM(H14,M14)&gt;$Z14,"O","U"))</f>
        <v>U</v>
      </c>
      <c r="Z14">
        <v>57.5</v>
      </c>
      <c r="AA14" s="3" t="str">
        <f t="shared" si="2"/>
        <v>UTA/OKC</v>
      </c>
    </row>
    <row r="15" spans="1:30" ht="17.100000000000001" x14ac:dyDescent="0.45">
      <c r="A15" s="3">
        <v>191025</v>
      </c>
      <c r="B15" s="1">
        <v>0.33333333333333331</v>
      </c>
      <c r="C15" t="s">
        <v>36</v>
      </c>
      <c r="D15" t="s">
        <v>50</v>
      </c>
      <c r="E15">
        <v>32</v>
      </c>
      <c r="F15">
        <v>31</v>
      </c>
      <c r="G15">
        <v>18</v>
      </c>
      <c r="H15">
        <v>19</v>
      </c>
      <c r="J15">
        <v>38</v>
      </c>
      <c r="K15">
        <v>22</v>
      </c>
      <c r="L15">
        <v>31</v>
      </c>
      <c r="M15">
        <v>26</v>
      </c>
      <c r="O15" s="3">
        <f t="shared" ref="O15:O17" si="29">SUM(E15:I15)</f>
        <v>100</v>
      </c>
      <c r="P15" s="3">
        <f t="shared" ref="P15:P17" si="30">SUM(J15:N15)</f>
        <v>117</v>
      </c>
      <c r="Q15" s="3" t="str">
        <f t="shared" ref="Q15:Q17" si="31">IF(E15=J15,"TT",IF(E15&gt;J15,"HW","HL"))</f>
        <v>HL</v>
      </c>
      <c r="R15" s="3" t="str">
        <f t="shared" ref="R15:R17" si="32">IF(F15=K15,"TT",IF(F15&gt;K15,"HW","HL"))</f>
        <v>HW</v>
      </c>
      <c r="S15" s="3" t="str">
        <f t="shared" ref="S15:S17" si="33">IF(G15=L15,"TT",IF(G15&gt;L15,"HW","HL"))</f>
        <v>HL</v>
      </c>
      <c r="T15" s="3" t="str">
        <f t="shared" ref="T15:T17" si="34">IF(H15=M15,"TT",IF(H15&gt;M15,"HW","HL"))</f>
        <v>HL</v>
      </c>
      <c r="U15" s="3" t="str">
        <f t="shared" ref="U15:U17" si="35">IF(SUM(E15,J15)=$Z15,"T",IF(SUM(E15,J15)&gt;$Z15,"O","U"))</f>
        <v>O</v>
      </c>
      <c r="V15" s="3" t="str">
        <f t="shared" ref="V15:V17" si="36">IF(SUM(F15,K15)=$Z15,"T",IF(SUM(F15,K15)&gt;$Z15,"O","U"))</f>
        <v>U</v>
      </c>
      <c r="W15" s="3" t="str">
        <f t="shared" ref="W15:W17" si="37">IF(SUM(G15,L15)=$Z15,"T",IF(SUM(G15,L15)&gt;$Z15,"O","U"))</f>
        <v>U</v>
      </c>
      <c r="X15" s="3" t="str">
        <f t="shared" ref="X15:X17" si="38">IF(SUM(H15,M15)=$Z15,"T",IF(SUM(H15,M15)&gt;$Z15,"O","U"))</f>
        <v>U</v>
      </c>
      <c r="Z15">
        <v>57</v>
      </c>
      <c r="AA15" s="3" t="str">
        <f t="shared" si="2"/>
        <v>DET/ATL</v>
      </c>
    </row>
    <row r="16" spans="1:30" ht="17.100000000000001" x14ac:dyDescent="0.45">
      <c r="A16" s="3">
        <v>191025</v>
      </c>
      <c r="B16" s="1">
        <v>0.47916666666666669</v>
      </c>
      <c r="C16" t="s">
        <v>51</v>
      </c>
      <c r="D16" t="s">
        <v>25</v>
      </c>
      <c r="E16">
        <v>29</v>
      </c>
      <c r="F16">
        <v>25</v>
      </c>
      <c r="G16">
        <v>33</v>
      </c>
      <c r="H16">
        <v>35</v>
      </c>
      <c r="J16">
        <v>35</v>
      </c>
      <c r="K16">
        <v>30</v>
      </c>
      <c r="L16">
        <v>46</v>
      </c>
      <c r="M16">
        <v>30</v>
      </c>
      <c r="O16" s="3">
        <f t="shared" si="29"/>
        <v>122</v>
      </c>
      <c r="P16" s="3">
        <f t="shared" si="30"/>
        <v>141</v>
      </c>
      <c r="Q16" s="3" t="str">
        <f t="shared" si="31"/>
        <v>HL</v>
      </c>
      <c r="R16" s="3" t="str">
        <f t="shared" si="32"/>
        <v>HL</v>
      </c>
      <c r="S16" s="3" t="str">
        <f t="shared" si="33"/>
        <v>HL</v>
      </c>
      <c r="T16" s="3" t="str">
        <f t="shared" si="34"/>
        <v>HW</v>
      </c>
      <c r="U16" s="3" t="str">
        <f t="shared" si="35"/>
        <v>O</v>
      </c>
      <c r="V16" s="3" t="str">
        <f t="shared" si="36"/>
        <v>U</v>
      </c>
      <c r="W16" s="3" t="str">
        <f t="shared" si="37"/>
        <v>O</v>
      </c>
      <c r="X16" s="3" t="str">
        <f t="shared" si="38"/>
        <v>O</v>
      </c>
      <c r="Z16">
        <v>59.5</v>
      </c>
      <c r="AA16" s="3" t="str">
        <f t="shared" si="2"/>
        <v>GS/LAC</v>
      </c>
    </row>
    <row r="17" spans="1:27" ht="17.100000000000001" x14ac:dyDescent="0.45">
      <c r="A17" s="3">
        <v>191025</v>
      </c>
      <c r="B17" s="1">
        <v>0.375</v>
      </c>
      <c r="C17" t="s">
        <v>52</v>
      </c>
      <c r="D17" t="s">
        <v>53</v>
      </c>
      <c r="E17">
        <v>30</v>
      </c>
      <c r="F17">
        <v>36</v>
      </c>
      <c r="G17">
        <v>21</v>
      </c>
      <c r="H17">
        <v>24</v>
      </c>
      <c r="J17">
        <v>23</v>
      </c>
      <c r="K17">
        <v>27</v>
      </c>
      <c r="L17">
        <v>28</v>
      </c>
      <c r="M17">
        <v>39</v>
      </c>
      <c r="O17" s="3">
        <f t="shared" si="29"/>
        <v>111</v>
      </c>
      <c r="P17" s="3">
        <f t="shared" si="30"/>
        <v>117</v>
      </c>
      <c r="Q17" s="3" t="str">
        <f t="shared" si="31"/>
        <v>HW</v>
      </c>
      <c r="R17" s="3" t="str">
        <f t="shared" si="32"/>
        <v>HW</v>
      </c>
      <c r="S17" s="3" t="str">
        <f t="shared" si="33"/>
        <v>HL</v>
      </c>
      <c r="T17" s="3" t="str">
        <f t="shared" si="34"/>
        <v>HL</v>
      </c>
      <c r="U17" s="3" t="str">
        <f t="shared" si="35"/>
        <v>U</v>
      </c>
      <c r="V17" s="3" t="str">
        <f t="shared" si="36"/>
        <v>O</v>
      </c>
      <c r="W17" s="3" t="str">
        <f t="shared" si="37"/>
        <v>U</v>
      </c>
      <c r="X17" s="3" t="str">
        <f t="shared" si="38"/>
        <v>O</v>
      </c>
      <c r="Z17">
        <v>57</v>
      </c>
      <c r="AA17" s="3" t="str">
        <f t="shared" si="2"/>
        <v>HOU/MIL</v>
      </c>
    </row>
    <row r="18" spans="1:27" ht="17.100000000000001" x14ac:dyDescent="0.45">
      <c r="A18" s="3">
        <v>191026</v>
      </c>
      <c r="B18" s="1">
        <v>0.33333333333333331</v>
      </c>
      <c r="C18" t="s">
        <v>42</v>
      </c>
      <c r="D18" t="s">
        <v>28</v>
      </c>
      <c r="E18">
        <v>22</v>
      </c>
      <c r="F18">
        <v>28</v>
      </c>
      <c r="G18">
        <v>26</v>
      </c>
      <c r="H18">
        <v>36</v>
      </c>
      <c r="J18">
        <v>21</v>
      </c>
      <c r="K18">
        <v>28</v>
      </c>
      <c r="L18">
        <v>33</v>
      </c>
      <c r="M18">
        <v>24</v>
      </c>
      <c r="O18" s="3">
        <f t="shared" ref="O18:O26" si="39">SUM(E18:I18)</f>
        <v>112</v>
      </c>
      <c r="P18" s="3">
        <f t="shared" ref="P18:P26" si="40">SUM(J18:N18)</f>
        <v>106</v>
      </c>
      <c r="Q18" s="3" t="str">
        <f t="shared" ref="Q18:Q26" si="41">IF(E18=J18,"TT",IF(E18&gt;J18,"HW","HL"))</f>
        <v>HW</v>
      </c>
      <c r="R18" s="3" t="str">
        <f t="shared" ref="R18:R26" si="42">IF(F18=K18,"TT",IF(F18&gt;K18,"HW","HL"))</f>
        <v>TT</v>
      </c>
      <c r="S18" s="3" t="str">
        <f t="shared" ref="S18:S26" si="43">IF(G18=L18,"TT",IF(G18&gt;L18,"HW","HL"))</f>
        <v>HL</v>
      </c>
      <c r="T18" s="3" t="str">
        <f t="shared" ref="T18:T26" si="44">IF(H18=M18,"TT",IF(H18&gt;M18,"HW","HL"))</f>
        <v>HW</v>
      </c>
      <c r="U18" s="3" t="str">
        <f t="shared" ref="U18:U26" si="45">IF(SUM(E18,J18)=$Z18,"T",IF(SUM(E18,J18)&gt;$Z18,"O","U"))</f>
        <v>U</v>
      </c>
      <c r="V18" s="3" t="str">
        <f t="shared" ref="V18:V26" si="46">IF(SUM(F18,K18)=$Z18,"T",IF(SUM(F18,K18)&gt;$Z18,"O","U"))</f>
        <v>O</v>
      </c>
      <c r="W18" s="3" t="str">
        <f t="shared" ref="W18:W26" si="47">IF(SUM(G18,L18)=$Z18,"T",IF(SUM(G18,L18)&gt;$Z18,"O","U"))</f>
        <v>O</v>
      </c>
      <c r="X18" s="3" t="str">
        <f t="shared" ref="X18:X26" si="48">IF(SUM(H18,M18)=$Z18,"T",IF(SUM(H18,M18)&gt;$Z18,"O","U"))</f>
        <v>O</v>
      </c>
      <c r="Z18">
        <v>55.5</v>
      </c>
      <c r="AA18" s="3" t="str">
        <f t="shared" si="2"/>
        <v>BOS/TOR</v>
      </c>
    </row>
    <row r="19" spans="1:27" ht="17.100000000000001" x14ac:dyDescent="0.45">
      <c r="A19" s="3">
        <v>191026</v>
      </c>
      <c r="B19" s="1">
        <v>0.35416666666666669</v>
      </c>
      <c r="C19" t="s">
        <v>54</v>
      </c>
      <c r="D19" t="s">
        <v>30</v>
      </c>
      <c r="E19">
        <v>32</v>
      </c>
      <c r="F19">
        <v>32</v>
      </c>
      <c r="G19">
        <v>30</v>
      </c>
      <c r="H19">
        <v>19</v>
      </c>
      <c r="J19">
        <v>23</v>
      </c>
      <c r="K19">
        <v>28</v>
      </c>
      <c r="L19">
        <v>32</v>
      </c>
      <c r="M19">
        <v>26</v>
      </c>
      <c r="O19" s="3">
        <f t="shared" si="39"/>
        <v>113</v>
      </c>
      <c r="P19" s="3">
        <f t="shared" si="40"/>
        <v>109</v>
      </c>
      <c r="Q19" s="3" t="str">
        <f t="shared" si="41"/>
        <v>HW</v>
      </c>
      <c r="R19" s="3" t="str">
        <f t="shared" si="42"/>
        <v>HW</v>
      </c>
      <c r="S19" s="3" t="str">
        <f t="shared" si="43"/>
        <v>HL</v>
      </c>
      <c r="T19" s="3" t="str">
        <f t="shared" si="44"/>
        <v>HL</v>
      </c>
      <c r="U19" s="3" t="str">
        <f t="shared" si="45"/>
        <v>U</v>
      </c>
      <c r="V19" s="3" t="str">
        <f t="shared" si="46"/>
        <v>O</v>
      </c>
      <c r="W19" s="3" t="str">
        <f t="shared" si="47"/>
        <v>O</v>
      </c>
      <c r="X19" s="3" t="str">
        <f t="shared" si="48"/>
        <v>U</v>
      </c>
      <c r="Z19">
        <v>58.5</v>
      </c>
      <c r="AA19" s="3" t="str">
        <f t="shared" si="2"/>
        <v>NY/BKN</v>
      </c>
    </row>
    <row r="20" spans="1:27" ht="17.100000000000001" x14ac:dyDescent="0.45">
      <c r="A20" s="3">
        <v>191026</v>
      </c>
      <c r="B20" s="1">
        <v>0.33333333333333331</v>
      </c>
      <c r="C20" t="s">
        <v>31</v>
      </c>
      <c r="D20" t="s">
        <v>29</v>
      </c>
      <c r="E20">
        <v>32</v>
      </c>
      <c r="F20">
        <v>24</v>
      </c>
      <c r="G20">
        <v>25</v>
      </c>
      <c r="H20">
        <v>18</v>
      </c>
      <c r="J20">
        <v>30</v>
      </c>
      <c r="K20">
        <v>28</v>
      </c>
      <c r="L20">
        <v>45</v>
      </c>
      <c r="M20">
        <v>18</v>
      </c>
      <c r="O20" s="3">
        <f t="shared" si="39"/>
        <v>99</v>
      </c>
      <c r="P20" s="3">
        <f t="shared" si="40"/>
        <v>121</v>
      </c>
      <c r="Q20" s="3" t="str">
        <f t="shared" si="41"/>
        <v>HW</v>
      </c>
      <c r="R20" s="3" t="str">
        <f t="shared" si="42"/>
        <v>HL</v>
      </c>
      <c r="S20" s="3" t="str">
        <f t="shared" si="43"/>
        <v>HL</v>
      </c>
      <c r="T20" s="3" t="str">
        <f t="shared" si="44"/>
        <v>TT</v>
      </c>
      <c r="U20" s="3" t="str">
        <f t="shared" si="45"/>
        <v>O</v>
      </c>
      <c r="V20" s="3" t="str">
        <f t="shared" si="46"/>
        <v>U</v>
      </c>
      <c r="W20" s="3" t="str">
        <f t="shared" si="47"/>
        <v>O</v>
      </c>
      <c r="X20" s="3" t="str">
        <f t="shared" si="48"/>
        <v>U</v>
      </c>
      <c r="Z20">
        <v>58.5</v>
      </c>
      <c r="AA20" s="3" t="str">
        <f t="shared" si="2"/>
        <v>CHA/MIN</v>
      </c>
    </row>
    <row r="21" spans="1:27" ht="17.100000000000001" x14ac:dyDescent="0.45">
      <c r="A21" s="3">
        <v>191026</v>
      </c>
      <c r="B21" s="1">
        <v>0.41666666666666669</v>
      </c>
      <c r="C21" t="s">
        <v>46</v>
      </c>
      <c r="D21" t="s">
        <v>43</v>
      </c>
      <c r="E21">
        <v>15</v>
      </c>
      <c r="F21">
        <v>24</v>
      </c>
      <c r="G21">
        <v>25</v>
      </c>
      <c r="H21">
        <v>31</v>
      </c>
      <c r="I21">
        <v>13</v>
      </c>
      <c r="J21">
        <v>21</v>
      </c>
      <c r="K21">
        <v>24</v>
      </c>
      <c r="L21">
        <v>17</v>
      </c>
      <c r="M21">
        <v>33</v>
      </c>
      <c r="N21" s="2">
        <v>12</v>
      </c>
      <c r="O21" s="3">
        <f t="shared" si="39"/>
        <v>108</v>
      </c>
      <c r="P21" s="3">
        <f t="shared" si="40"/>
        <v>107</v>
      </c>
      <c r="Q21" s="3" t="str">
        <f t="shared" si="41"/>
        <v>HL</v>
      </c>
      <c r="R21" s="3" t="str">
        <f t="shared" si="42"/>
        <v>TT</v>
      </c>
      <c r="S21" s="3" t="str">
        <f t="shared" si="43"/>
        <v>HW</v>
      </c>
      <c r="T21" s="3" t="str">
        <f t="shared" si="44"/>
        <v>HL</v>
      </c>
      <c r="U21" s="3" t="str">
        <f t="shared" si="45"/>
        <v>U</v>
      </c>
      <c r="V21" s="3" t="str">
        <f t="shared" si="46"/>
        <v>U</v>
      </c>
      <c r="W21" s="3" t="str">
        <f t="shared" si="47"/>
        <v>U</v>
      </c>
      <c r="X21" s="3" t="str">
        <f t="shared" si="48"/>
        <v>O</v>
      </c>
      <c r="Z21">
        <v>55</v>
      </c>
      <c r="AA21" s="3" t="str">
        <f t="shared" si="2"/>
        <v>DEN/PHO</v>
      </c>
    </row>
    <row r="22" spans="1:27" ht="17.100000000000001" x14ac:dyDescent="0.45">
      <c r="A22" s="3">
        <v>191026</v>
      </c>
      <c r="B22" s="1">
        <v>0.47916666666666669</v>
      </c>
      <c r="C22" t="s">
        <v>26</v>
      </c>
      <c r="D22" t="s">
        <v>48</v>
      </c>
      <c r="E22">
        <v>24</v>
      </c>
      <c r="F22">
        <v>19</v>
      </c>
      <c r="G22">
        <v>31</v>
      </c>
      <c r="H22">
        <v>21</v>
      </c>
      <c r="J22">
        <v>17</v>
      </c>
      <c r="K22">
        <v>20</v>
      </c>
      <c r="L22">
        <v>18</v>
      </c>
      <c r="M22">
        <v>31</v>
      </c>
      <c r="O22" s="3">
        <f t="shared" si="39"/>
        <v>95</v>
      </c>
      <c r="P22" s="3">
        <f t="shared" si="40"/>
        <v>86</v>
      </c>
      <c r="Q22" s="3" t="str">
        <f t="shared" si="41"/>
        <v>HW</v>
      </c>
      <c r="R22" s="3" t="str">
        <f t="shared" si="42"/>
        <v>HL</v>
      </c>
      <c r="S22" s="3" t="str">
        <f t="shared" si="43"/>
        <v>HW</v>
      </c>
      <c r="T22" s="3" t="str">
        <f t="shared" si="44"/>
        <v>HL</v>
      </c>
      <c r="U22" s="3" t="str">
        <f t="shared" si="45"/>
        <v>U</v>
      </c>
      <c r="V22" s="3" t="str">
        <f t="shared" si="46"/>
        <v>U</v>
      </c>
      <c r="W22" s="3" t="str">
        <f t="shared" si="47"/>
        <v>U</v>
      </c>
      <c r="X22" s="3" t="str">
        <f t="shared" si="48"/>
        <v>U</v>
      </c>
      <c r="Z22">
        <v>53.5</v>
      </c>
      <c r="AA22" s="3" t="str">
        <f t="shared" si="2"/>
        <v>LAL/UTA</v>
      </c>
    </row>
    <row r="23" spans="1:27" ht="17.100000000000001" x14ac:dyDescent="0.45">
      <c r="A23" s="3">
        <v>191026</v>
      </c>
      <c r="B23" s="1">
        <v>0.375</v>
      </c>
      <c r="C23" t="s">
        <v>38</v>
      </c>
      <c r="D23" t="s">
        <v>32</v>
      </c>
      <c r="E23">
        <v>29</v>
      </c>
      <c r="F23">
        <v>31</v>
      </c>
      <c r="G23">
        <v>21</v>
      </c>
      <c r="H23">
        <v>21</v>
      </c>
      <c r="J23">
        <v>25</v>
      </c>
      <c r="K23">
        <v>22</v>
      </c>
      <c r="L23">
        <v>32</v>
      </c>
      <c r="M23">
        <v>31</v>
      </c>
      <c r="O23" s="3">
        <f t="shared" si="39"/>
        <v>102</v>
      </c>
      <c r="P23" s="3">
        <f t="shared" si="40"/>
        <v>110</v>
      </c>
      <c r="Q23" s="3" t="str">
        <f t="shared" si="41"/>
        <v>HW</v>
      </c>
      <c r="R23" s="3" t="str">
        <f t="shared" si="42"/>
        <v>HW</v>
      </c>
      <c r="S23" s="3" t="str">
        <f t="shared" si="43"/>
        <v>HL</v>
      </c>
      <c r="T23" s="3" t="str">
        <f t="shared" si="44"/>
        <v>HL</v>
      </c>
      <c r="U23" s="3" t="str">
        <f t="shared" si="45"/>
        <v>U</v>
      </c>
      <c r="V23" s="3" t="str">
        <f t="shared" si="46"/>
        <v>U</v>
      </c>
      <c r="W23" s="3" t="str">
        <f t="shared" si="47"/>
        <v>U</v>
      </c>
      <c r="X23" s="3" t="str">
        <f t="shared" si="48"/>
        <v>U</v>
      </c>
      <c r="Z23">
        <v>55.5</v>
      </c>
      <c r="AA23" s="3" t="str">
        <f t="shared" si="2"/>
        <v>MEM/CHI</v>
      </c>
    </row>
    <row r="24" spans="1:27" ht="17.100000000000001" x14ac:dyDescent="0.45">
      <c r="A24" s="3">
        <v>191026</v>
      </c>
      <c r="B24" s="1">
        <v>0.41666666666666669</v>
      </c>
      <c r="C24" t="s">
        <v>27</v>
      </c>
      <c r="D24" t="s">
        <v>33</v>
      </c>
      <c r="E24">
        <v>41</v>
      </c>
      <c r="F24">
        <v>23</v>
      </c>
      <c r="G24">
        <v>29</v>
      </c>
      <c r="H24">
        <v>23</v>
      </c>
      <c r="J24">
        <v>27</v>
      </c>
      <c r="K24">
        <v>45</v>
      </c>
      <c r="L24">
        <v>23</v>
      </c>
      <c r="M24">
        <v>28</v>
      </c>
      <c r="O24" s="3">
        <f t="shared" si="39"/>
        <v>116</v>
      </c>
      <c r="P24" s="3">
        <f t="shared" si="40"/>
        <v>123</v>
      </c>
      <c r="Q24" s="3" t="str">
        <f t="shared" si="41"/>
        <v>HW</v>
      </c>
      <c r="R24" s="3" t="str">
        <f t="shared" si="42"/>
        <v>HL</v>
      </c>
      <c r="S24" s="3" t="str">
        <f t="shared" si="43"/>
        <v>HW</v>
      </c>
      <c r="T24" s="3" t="str">
        <f t="shared" si="44"/>
        <v>HL</v>
      </c>
      <c r="U24" s="3" t="str">
        <f t="shared" si="45"/>
        <v>O</v>
      </c>
      <c r="V24" s="3" t="str">
        <f t="shared" si="46"/>
        <v>O</v>
      </c>
      <c r="W24" s="3" t="str">
        <f t="shared" si="47"/>
        <v>U</v>
      </c>
      <c r="X24" s="3" t="str">
        <f t="shared" si="48"/>
        <v>U</v>
      </c>
      <c r="Z24">
        <v>58.5</v>
      </c>
      <c r="AA24" s="3" t="str">
        <f t="shared" si="2"/>
        <v>NO/DAL</v>
      </c>
    </row>
    <row r="25" spans="1:27" ht="17.100000000000001" x14ac:dyDescent="0.45">
      <c r="A25" s="3">
        <v>191026</v>
      </c>
      <c r="B25" s="1">
        <v>0.45833333333333331</v>
      </c>
      <c r="C25" t="s">
        <v>49</v>
      </c>
      <c r="D25" t="s">
        <v>34</v>
      </c>
      <c r="E25">
        <v>24</v>
      </c>
      <c r="F25">
        <v>22</v>
      </c>
      <c r="G25">
        <v>24</v>
      </c>
      <c r="H25">
        <v>15</v>
      </c>
      <c r="J25">
        <v>28</v>
      </c>
      <c r="K25">
        <v>24</v>
      </c>
      <c r="L25">
        <v>26</v>
      </c>
      <c r="M25">
        <v>19</v>
      </c>
      <c r="O25" s="3">
        <f t="shared" si="39"/>
        <v>85</v>
      </c>
      <c r="P25" s="3">
        <f t="shared" si="40"/>
        <v>97</v>
      </c>
      <c r="Q25" s="3" t="str">
        <f t="shared" si="41"/>
        <v>HL</v>
      </c>
      <c r="R25" s="3" t="str">
        <f t="shared" si="42"/>
        <v>HL</v>
      </c>
      <c r="S25" s="3" t="str">
        <f t="shared" si="43"/>
        <v>HL</v>
      </c>
      <c r="T25" s="3" t="str">
        <f t="shared" si="44"/>
        <v>HL</v>
      </c>
      <c r="U25" s="3" t="str">
        <f t="shared" si="45"/>
        <v>U</v>
      </c>
      <c r="V25" s="3" t="str">
        <f t="shared" si="46"/>
        <v>U</v>
      </c>
      <c r="W25" s="3" t="str">
        <f t="shared" si="47"/>
        <v>U</v>
      </c>
      <c r="X25" s="3" t="str">
        <f t="shared" si="48"/>
        <v>U</v>
      </c>
      <c r="Z25">
        <v>56.5</v>
      </c>
      <c r="AA25" s="3" t="str">
        <f t="shared" si="2"/>
        <v>OKC/WAS</v>
      </c>
    </row>
    <row r="26" spans="1:27" ht="17.100000000000001" x14ac:dyDescent="0.45">
      <c r="A26" s="3">
        <v>191026</v>
      </c>
      <c r="B26" s="1">
        <v>0.47916666666666669</v>
      </c>
      <c r="C26" t="s">
        <v>44</v>
      </c>
      <c r="D26" t="s">
        <v>45</v>
      </c>
      <c r="E26">
        <v>27</v>
      </c>
      <c r="F26">
        <v>30</v>
      </c>
      <c r="G26">
        <v>27</v>
      </c>
      <c r="H26">
        <v>28</v>
      </c>
      <c r="J26">
        <v>25</v>
      </c>
      <c r="K26">
        <v>32</v>
      </c>
      <c r="L26">
        <v>37</v>
      </c>
      <c r="M26">
        <v>28</v>
      </c>
      <c r="O26" s="3">
        <f t="shared" si="39"/>
        <v>112</v>
      </c>
      <c r="P26" s="3">
        <f t="shared" si="40"/>
        <v>122</v>
      </c>
      <c r="Q26" s="3" t="str">
        <f t="shared" si="41"/>
        <v>HW</v>
      </c>
      <c r="R26" s="3" t="str">
        <f t="shared" si="42"/>
        <v>HL</v>
      </c>
      <c r="S26" s="3" t="str">
        <f t="shared" si="43"/>
        <v>HL</v>
      </c>
      <c r="T26" s="3" t="str">
        <f t="shared" si="44"/>
        <v>TT</v>
      </c>
      <c r="U26" s="3" t="str">
        <f t="shared" si="45"/>
        <v>U</v>
      </c>
      <c r="V26" s="3" t="str">
        <f t="shared" si="46"/>
        <v>O</v>
      </c>
      <c r="W26" s="3" t="str">
        <f t="shared" si="47"/>
        <v>O</v>
      </c>
      <c r="X26" s="3" t="str">
        <f t="shared" si="48"/>
        <v>O</v>
      </c>
      <c r="Z26">
        <v>55.5</v>
      </c>
      <c r="AA26" t="str">
        <f t="shared" si="2"/>
        <v>SAC/POR</v>
      </c>
    </row>
    <row r="27" spans="1:27" ht="17.100000000000001" x14ac:dyDescent="0.45">
      <c r="A27" s="3">
        <v>191027</v>
      </c>
      <c r="B27" s="1">
        <v>0.25</v>
      </c>
      <c r="C27" t="s">
        <v>53</v>
      </c>
      <c r="D27" t="s">
        <v>37</v>
      </c>
      <c r="E27">
        <v>33</v>
      </c>
      <c r="F27">
        <v>37</v>
      </c>
      <c r="G27">
        <v>23</v>
      </c>
      <c r="H27">
        <v>28</v>
      </c>
      <c r="I27">
        <v>5</v>
      </c>
      <c r="J27">
        <v>29</v>
      </c>
      <c r="K27">
        <v>24</v>
      </c>
      <c r="L27">
        <v>29</v>
      </c>
      <c r="M27">
        <v>39</v>
      </c>
      <c r="N27" s="2">
        <v>10</v>
      </c>
      <c r="O27" s="3">
        <f t="shared" ref="O27:O36" si="49">SUM(E27:I27)</f>
        <v>126</v>
      </c>
      <c r="P27" s="3">
        <f t="shared" ref="P27:P52" si="50">SUM(J27:N27)</f>
        <v>131</v>
      </c>
      <c r="Q27" s="3" t="str">
        <f t="shared" ref="Q27:Q52" si="51">IF(E27=J27,"TT",IF(E27&gt;J27,"HW","HL"))</f>
        <v>HW</v>
      </c>
      <c r="R27" s="3" t="str">
        <f t="shared" ref="R27:R52" si="52">IF(F27=K27,"TT",IF(F27&gt;K27,"HW","HL"))</f>
        <v>HW</v>
      </c>
      <c r="S27" s="3" t="str">
        <f t="shared" ref="S27:S52" si="53">IF(G27=L27,"TT",IF(G27&gt;L27,"HW","HL"))</f>
        <v>HL</v>
      </c>
      <c r="T27" s="3" t="str">
        <f t="shared" ref="T27:T52" si="54">IF(H27=M27,"TT",IF(H27&gt;M27,"HW","HL"))</f>
        <v>HL</v>
      </c>
      <c r="U27" s="3" t="str">
        <f t="shared" ref="U27:U52" si="55">IF(SUM(E27,J27)=$Z27,"T",IF(SUM(E27,J27)&gt;$Z27,"O","U"))</f>
        <v>O</v>
      </c>
      <c r="V27" s="3" t="str">
        <f t="shared" ref="V27:V52" si="56">IF(SUM(F27,K27)=$Z27,"T",IF(SUM(F27,K27)&gt;$Z27,"O","U"))</f>
        <v>O</v>
      </c>
      <c r="W27" s="3" t="str">
        <f t="shared" ref="W27:W52" si="57">IF(SUM(G27,L27)=$Z27,"T",IF(SUM(G27,L27)&gt;$Z27,"O","U"))</f>
        <v>U</v>
      </c>
      <c r="X27" s="3" t="str">
        <f t="shared" ref="X27:X52" si="58">IF(SUM(H27,M27)=$Z27,"T",IF(SUM(H27,M27)&gt;$Z27,"O","U"))</f>
        <v>O</v>
      </c>
      <c r="Z27">
        <v>57.5</v>
      </c>
      <c r="AA27" t="str">
        <f t="shared" si="2"/>
        <v>MIL/MIA</v>
      </c>
    </row>
    <row r="28" spans="1:27" ht="17.100000000000001" x14ac:dyDescent="0.45">
      <c r="A28" s="3">
        <v>191027</v>
      </c>
      <c r="B28" s="1">
        <v>0.33333333333333331</v>
      </c>
      <c r="C28" t="s">
        <v>36</v>
      </c>
      <c r="D28" t="s">
        <v>41</v>
      </c>
      <c r="E28">
        <v>29</v>
      </c>
      <c r="F28">
        <v>28</v>
      </c>
      <c r="G28">
        <v>26</v>
      </c>
      <c r="H28">
        <v>28</v>
      </c>
      <c r="J28">
        <v>28</v>
      </c>
      <c r="K28">
        <v>26</v>
      </c>
      <c r="L28">
        <v>29</v>
      </c>
      <c r="M28">
        <v>34</v>
      </c>
      <c r="O28" s="3">
        <f t="shared" si="49"/>
        <v>111</v>
      </c>
      <c r="P28" s="3">
        <f t="shared" si="50"/>
        <v>117</v>
      </c>
      <c r="Q28" s="3" t="str">
        <f t="shared" si="51"/>
        <v>HW</v>
      </c>
      <c r="R28" s="3" t="str">
        <f t="shared" si="52"/>
        <v>HW</v>
      </c>
      <c r="S28" s="3" t="str">
        <f t="shared" si="53"/>
        <v>HL</v>
      </c>
      <c r="T28" s="3" t="str">
        <f t="shared" si="54"/>
        <v>HL</v>
      </c>
      <c r="U28" s="3" t="str">
        <f t="shared" si="55"/>
        <v>O</v>
      </c>
      <c r="V28" s="3" t="str">
        <f t="shared" si="56"/>
        <v>U</v>
      </c>
      <c r="W28" s="3" t="str">
        <f t="shared" si="57"/>
        <v>T</v>
      </c>
      <c r="X28" s="3" t="str">
        <f t="shared" si="58"/>
        <v>O</v>
      </c>
      <c r="Z28">
        <v>55</v>
      </c>
      <c r="AA28" t="str">
        <f t="shared" si="2"/>
        <v>DET/PHI</v>
      </c>
    </row>
    <row r="29" spans="1:27" ht="17.100000000000001" x14ac:dyDescent="0.45">
      <c r="A29" s="3">
        <v>191027</v>
      </c>
      <c r="B29" s="4">
        <v>0.35416666666666669</v>
      </c>
      <c r="C29" s="5" t="s">
        <v>50</v>
      </c>
      <c r="D29" s="5" t="s">
        <v>39</v>
      </c>
      <c r="E29">
        <v>23</v>
      </c>
      <c r="F29">
        <v>29</v>
      </c>
      <c r="G29">
        <v>25</v>
      </c>
      <c r="H29">
        <v>26</v>
      </c>
      <c r="J29">
        <v>26</v>
      </c>
      <c r="K29">
        <v>24</v>
      </c>
      <c r="L29">
        <v>25</v>
      </c>
      <c r="M29">
        <v>24</v>
      </c>
      <c r="O29" s="3">
        <f t="shared" si="49"/>
        <v>103</v>
      </c>
      <c r="P29" s="3">
        <f t="shared" si="50"/>
        <v>99</v>
      </c>
      <c r="Q29" s="3" t="str">
        <f t="shared" si="51"/>
        <v>HL</v>
      </c>
      <c r="R29" s="3" t="str">
        <f t="shared" si="52"/>
        <v>HW</v>
      </c>
      <c r="S29" s="3" t="str">
        <f t="shared" si="53"/>
        <v>TT</v>
      </c>
      <c r="T29" s="3" t="str">
        <f t="shared" si="54"/>
        <v>HW</v>
      </c>
      <c r="U29" s="3" t="str">
        <f t="shared" si="55"/>
        <v>U</v>
      </c>
      <c r="V29" s="3" t="str">
        <f t="shared" si="56"/>
        <v>U</v>
      </c>
      <c r="W29" s="3" t="str">
        <f t="shared" si="57"/>
        <v>U</v>
      </c>
      <c r="X29" s="3" t="str">
        <f t="shared" si="58"/>
        <v>U</v>
      </c>
      <c r="Z29">
        <v>56</v>
      </c>
      <c r="AA29" t="str">
        <f t="shared" si="2"/>
        <v>ATL/ORL</v>
      </c>
    </row>
    <row r="30" spans="1:27" ht="17.100000000000001" x14ac:dyDescent="0.45">
      <c r="A30" s="3">
        <v>191027</v>
      </c>
      <c r="B30" s="1">
        <v>0.375</v>
      </c>
      <c r="C30" t="s">
        <v>54</v>
      </c>
      <c r="D30" t="s">
        <v>42</v>
      </c>
      <c r="E30">
        <v>24</v>
      </c>
      <c r="F30">
        <v>27</v>
      </c>
      <c r="G30">
        <v>25</v>
      </c>
      <c r="H30">
        <v>19</v>
      </c>
      <c r="J30">
        <v>22</v>
      </c>
      <c r="K30">
        <v>24</v>
      </c>
      <c r="L30">
        <v>36</v>
      </c>
      <c r="M30">
        <v>36</v>
      </c>
      <c r="O30" s="3">
        <f t="shared" si="49"/>
        <v>95</v>
      </c>
      <c r="P30" s="3">
        <f t="shared" si="50"/>
        <v>118</v>
      </c>
      <c r="Q30" s="3" t="str">
        <f t="shared" si="51"/>
        <v>HW</v>
      </c>
      <c r="R30" s="3" t="str">
        <f t="shared" si="52"/>
        <v>HW</v>
      </c>
      <c r="S30" s="3" t="str">
        <f t="shared" si="53"/>
        <v>HL</v>
      </c>
      <c r="T30" s="3" t="str">
        <f t="shared" si="54"/>
        <v>HL</v>
      </c>
      <c r="U30" s="3" t="str">
        <f t="shared" si="55"/>
        <v>U</v>
      </c>
      <c r="V30" s="3" t="str">
        <f t="shared" si="56"/>
        <v>U</v>
      </c>
      <c r="W30" s="3" t="str">
        <f t="shared" si="57"/>
        <v>O</v>
      </c>
      <c r="X30" s="3" t="str">
        <f t="shared" si="58"/>
        <v>O</v>
      </c>
      <c r="Z30">
        <v>53.5</v>
      </c>
      <c r="AA30" t="str">
        <f t="shared" si="2"/>
        <v>NY/BOS</v>
      </c>
    </row>
    <row r="31" spans="1:27" ht="17.100000000000001" x14ac:dyDescent="0.45">
      <c r="A31" s="3">
        <v>191027</v>
      </c>
      <c r="B31" s="1">
        <v>0.375</v>
      </c>
      <c r="C31" t="s">
        <v>32</v>
      </c>
      <c r="D31" t="s">
        <v>28</v>
      </c>
      <c r="E31">
        <v>23</v>
      </c>
      <c r="F31">
        <v>17</v>
      </c>
      <c r="G31">
        <v>22</v>
      </c>
      <c r="H31">
        <v>22</v>
      </c>
      <c r="J31">
        <v>24</v>
      </c>
      <c r="K31">
        <v>24</v>
      </c>
      <c r="L31">
        <v>36</v>
      </c>
      <c r="M31">
        <v>24</v>
      </c>
      <c r="O31" s="3">
        <f t="shared" si="49"/>
        <v>84</v>
      </c>
      <c r="P31" s="3">
        <f t="shared" si="50"/>
        <v>108</v>
      </c>
      <c r="Q31" s="3" t="str">
        <f t="shared" si="51"/>
        <v>HL</v>
      </c>
      <c r="R31" s="3" t="str">
        <f t="shared" si="52"/>
        <v>HL</v>
      </c>
      <c r="S31" s="3" t="str">
        <f t="shared" si="53"/>
        <v>HL</v>
      </c>
      <c r="T31" s="3" t="str">
        <f t="shared" si="54"/>
        <v>HL</v>
      </c>
      <c r="U31" s="3" t="str">
        <f t="shared" si="55"/>
        <v>U</v>
      </c>
      <c r="V31" s="3" t="str">
        <f t="shared" si="56"/>
        <v>U</v>
      </c>
      <c r="W31" s="3" t="str">
        <f t="shared" si="57"/>
        <v>O</v>
      </c>
      <c r="X31" s="3" t="str">
        <f t="shared" si="58"/>
        <v>U</v>
      </c>
      <c r="Z31">
        <v>57</v>
      </c>
      <c r="AA31" t="str">
        <f t="shared" si="2"/>
        <v>CHI/TOR</v>
      </c>
    </row>
    <row r="32" spans="1:27" ht="17.100000000000001" x14ac:dyDescent="0.45">
      <c r="A32" s="3">
        <v>191027</v>
      </c>
      <c r="B32" s="1">
        <v>0.375</v>
      </c>
      <c r="C32" t="s">
        <v>40</v>
      </c>
      <c r="D32" t="s">
        <v>35</v>
      </c>
      <c r="E32">
        <v>26</v>
      </c>
      <c r="F32">
        <v>39</v>
      </c>
      <c r="G32">
        <v>25</v>
      </c>
      <c r="H32">
        <v>20</v>
      </c>
      <c r="J32">
        <v>28</v>
      </c>
      <c r="K32">
        <v>20</v>
      </c>
      <c r="L32">
        <v>26</v>
      </c>
      <c r="M32">
        <v>25</v>
      </c>
      <c r="O32" s="3">
        <f t="shared" si="49"/>
        <v>110</v>
      </c>
      <c r="P32" s="3">
        <f t="shared" si="50"/>
        <v>99</v>
      </c>
      <c r="Q32" s="3" t="str">
        <f t="shared" si="51"/>
        <v>HL</v>
      </c>
      <c r="R32" s="3" t="str">
        <f t="shared" si="52"/>
        <v>HW</v>
      </c>
      <c r="S32" s="3" t="str">
        <f t="shared" si="53"/>
        <v>HL</v>
      </c>
      <c r="T32" s="3" t="str">
        <f t="shared" si="54"/>
        <v>HL</v>
      </c>
      <c r="U32" s="3" t="str">
        <f t="shared" si="55"/>
        <v>U</v>
      </c>
      <c r="V32" s="3" t="str">
        <f t="shared" si="56"/>
        <v>O</v>
      </c>
      <c r="W32" s="3" t="str">
        <f t="shared" si="57"/>
        <v>U</v>
      </c>
      <c r="X32" s="3" t="str">
        <f t="shared" si="58"/>
        <v>U</v>
      </c>
      <c r="Z32">
        <v>55</v>
      </c>
      <c r="AA32" t="str">
        <f t="shared" si="2"/>
        <v>CLE/IND</v>
      </c>
    </row>
    <row r="33" spans="1:27" ht="17.100000000000001" x14ac:dyDescent="0.45">
      <c r="A33" s="3">
        <v>191027</v>
      </c>
      <c r="B33" s="1">
        <v>0.375</v>
      </c>
      <c r="C33" t="s">
        <v>52</v>
      </c>
      <c r="D33" t="s">
        <v>27</v>
      </c>
      <c r="E33">
        <v>29</v>
      </c>
      <c r="F33">
        <v>32</v>
      </c>
      <c r="G33">
        <v>36</v>
      </c>
      <c r="H33">
        <v>29</v>
      </c>
      <c r="J33">
        <v>24</v>
      </c>
      <c r="K33">
        <v>37</v>
      </c>
      <c r="L33">
        <v>39</v>
      </c>
      <c r="M33">
        <v>23</v>
      </c>
      <c r="O33" s="3">
        <f t="shared" si="49"/>
        <v>126</v>
      </c>
      <c r="P33" s="3">
        <f t="shared" si="50"/>
        <v>123</v>
      </c>
      <c r="Q33" s="3" t="str">
        <f t="shared" si="51"/>
        <v>HW</v>
      </c>
      <c r="R33" s="3" t="str">
        <f t="shared" si="52"/>
        <v>HL</v>
      </c>
      <c r="S33" s="3" t="str">
        <f t="shared" si="53"/>
        <v>HL</v>
      </c>
      <c r="T33" s="3" t="str">
        <f t="shared" si="54"/>
        <v>HW</v>
      </c>
      <c r="U33" s="3" t="str">
        <f t="shared" si="55"/>
        <v>U</v>
      </c>
      <c r="V33" s="3" t="str">
        <f t="shared" si="56"/>
        <v>O</v>
      </c>
      <c r="W33" s="3" t="str">
        <f t="shared" si="57"/>
        <v>O</v>
      </c>
      <c r="X33" s="3" t="str">
        <f t="shared" si="58"/>
        <v>U</v>
      </c>
      <c r="Z33">
        <v>61</v>
      </c>
      <c r="AA33" t="str">
        <f t="shared" si="2"/>
        <v>HOU/NO</v>
      </c>
    </row>
    <row r="34" spans="1:27" ht="17.100000000000001" x14ac:dyDescent="0.45">
      <c r="A34" s="3">
        <v>191027</v>
      </c>
      <c r="B34" s="1">
        <v>0.39583333333333331</v>
      </c>
      <c r="C34" t="s">
        <v>56</v>
      </c>
      <c r="D34" t="s">
        <v>34</v>
      </c>
      <c r="E34">
        <v>30</v>
      </c>
      <c r="F34">
        <v>30</v>
      </c>
      <c r="G34">
        <v>32</v>
      </c>
      <c r="H34">
        <v>32</v>
      </c>
      <c r="J34">
        <v>26</v>
      </c>
      <c r="K34">
        <v>34</v>
      </c>
      <c r="L34">
        <v>30</v>
      </c>
      <c r="M34">
        <v>32</v>
      </c>
      <c r="O34" s="3">
        <f t="shared" si="49"/>
        <v>124</v>
      </c>
      <c r="P34" s="3">
        <f t="shared" si="50"/>
        <v>122</v>
      </c>
      <c r="Q34" s="3" t="str">
        <f t="shared" si="51"/>
        <v>HW</v>
      </c>
      <c r="R34" s="3" t="str">
        <f t="shared" si="52"/>
        <v>HL</v>
      </c>
      <c r="S34" s="3" t="str">
        <f t="shared" si="53"/>
        <v>HW</v>
      </c>
      <c r="T34" s="3" t="str">
        <f t="shared" si="54"/>
        <v>TT</v>
      </c>
      <c r="U34" s="3" t="str">
        <f t="shared" si="55"/>
        <v>U</v>
      </c>
      <c r="V34" s="3" t="str">
        <f t="shared" si="56"/>
        <v>O</v>
      </c>
      <c r="W34" s="3" t="str">
        <f t="shared" si="57"/>
        <v>O</v>
      </c>
      <c r="X34" s="3" t="str">
        <f t="shared" si="58"/>
        <v>O</v>
      </c>
      <c r="Z34">
        <v>56.5</v>
      </c>
      <c r="AA34" t="str">
        <f t="shared" si="2"/>
        <v>SAS/WAS</v>
      </c>
    </row>
    <row r="35" spans="1:27" ht="17.100000000000001" x14ac:dyDescent="0.45">
      <c r="A35" s="3">
        <v>191027</v>
      </c>
      <c r="B35" s="4">
        <v>0.41666666666666669</v>
      </c>
      <c r="C35" s="5" t="s">
        <v>48</v>
      </c>
      <c r="D35" s="5" t="s">
        <v>44</v>
      </c>
      <c r="E35">
        <v>35</v>
      </c>
      <c r="F35">
        <v>31</v>
      </c>
      <c r="G35">
        <v>27</v>
      </c>
      <c r="H35">
        <v>20</v>
      </c>
      <c r="J35">
        <v>25</v>
      </c>
      <c r="K35">
        <v>16</v>
      </c>
      <c r="L35">
        <v>17</v>
      </c>
      <c r="M35">
        <v>23</v>
      </c>
      <c r="O35" s="3">
        <f t="shared" si="49"/>
        <v>113</v>
      </c>
      <c r="P35" s="3">
        <f t="shared" si="50"/>
        <v>81</v>
      </c>
      <c r="Q35" s="3" t="str">
        <f t="shared" si="51"/>
        <v>HW</v>
      </c>
      <c r="R35" s="3" t="str">
        <f t="shared" si="52"/>
        <v>HW</v>
      </c>
      <c r="S35" s="3" t="str">
        <f t="shared" si="53"/>
        <v>HW</v>
      </c>
      <c r="T35" s="3" t="str">
        <f t="shared" si="54"/>
        <v>HL</v>
      </c>
      <c r="U35" s="3" t="str">
        <f t="shared" si="55"/>
        <v>O</v>
      </c>
      <c r="V35" s="3" t="str">
        <f t="shared" si="56"/>
        <v>U</v>
      </c>
      <c r="W35" s="3" t="str">
        <f t="shared" si="57"/>
        <v>U</v>
      </c>
      <c r="X35" s="3" t="str">
        <f t="shared" si="58"/>
        <v>U</v>
      </c>
      <c r="Z35">
        <v>57</v>
      </c>
      <c r="AA35" t="str">
        <f t="shared" si="2"/>
        <v>UTA/SAC</v>
      </c>
    </row>
    <row r="36" spans="1:27" ht="17.100000000000001" x14ac:dyDescent="0.45">
      <c r="A36" s="3">
        <v>191027</v>
      </c>
      <c r="B36" s="4">
        <v>0.45833333333333331</v>
      </c>
      <c r="C36" s="5" t="s">
        <v>43</v>
      </c>
      <c r="D36" s="5" t="s">
        <v>25</v>
      </c>
      <c r="E36">
        <v>26</v>
      </c>
      <c r="F36">
        <v>29</v>
      </c>
      <c r="G36">
        <v>36</v>
      </c>
      <c r="H36">
        <v>39</v>
      </c>
      <c r="J36">
        <v>22</v>
      </c>
      <c r="K36">
        <v>33</v>
      </c>
      <c r="L36">
        <v>30</v>
      </c>
      <c r="M36">
        <v>37</v>
      </c>
      <c r="O36" s="3">
        <f t="shared" si="49"/>
        <v>130</v>
      </c>
      <c r="P36" s="3">
        <f t="shared" si="50"/>
        <v>122</v>
      </c>
      <c r="Q36" s="3" t="str">
        <f t="shared" si="51"/>
        <v>HW</v>
      </c>
      <c r="R36" s="3" t="str">
        <f t="shared" si="52"/>
        <v>HL</v>
      </c>
      <c r="S36" s="3" t="str">
        <f t="shared" si="53"/>
        <v>HW</v>
      </c>
      <c r="T36" s="3" t="str">
        <f t="shared" si="54"/>
        <v>HW</v>
      </c>
      <c r="U36" s="3" t="str">
        <f t="shared" si="55"/>
        <v>U</v>
      </c>
      <c r="V36" s="3" t="str">
        <f t="shared" si="56"/>
        <v>O</v>
      </c>
      <c r="W36" s="3" t="str">
        <f t="shared" si="57"/>
        <v>O</v>
      </c>
      <c r="X36" s="3" t="str">
        <f t="shared" si="58"/>
        <v>O</v>
      </c>
      <c r="Z36">
        <v>58.5</v>
      </c>
      <c r="AA36" t="str">
        <f t="shared" si="2"/>
        <v>PHO/LAC</v>
      </c>
    </row>
    <row r="37" spans="1:27" ht="17.100000000000001" x14ac:dyDescent="0.45">
      <c r="A37" s="3">
        <v>191028</v>
      </c>
      <c r="B37" s="7">
        <v>0.1875</v>
      </c>
      <c r="C37" s="3" t="s">
        <v>49</v>
      </c>
      <c r="D37" s="3" t="s">
        <v>51</v>
      </c>
      <c r="E37" s="3">
        <v>35</v>
      </c>
      <c r="F37" s="3">
        <v>35</v>
      </c>
      <c r="G37" s="3">
        <v>35</v>
      </c>
      <c r="H37" s="3">
        <v>15</v>
      </c>
      <c r="I37" s="3"/>
      <c r="J37" s="3">
        <v>20</v>
      </c>
      <c r="K37" s="3">
        <v>17</v>
      </c>
      <c r="L37" s="3">
        <v>31</v>
      </c>
      <c r="M37" s="3">
        <v>24</v>
      </c>
      <c r="N37" s="3"/>
      <c r="O37" s="3">
        <f t="shared" ref="O37:O52" si="59">SUM(E37:I37)</f>
        <v>120</v>
      </c>
      <c r="P37" s="3">
        <f t="shared" si="50"/>
        <v>92</v>
      </c>
      <c r="Q37" s="3" t="str">
        <f t="shared" si="51"/>
        <v>HW</v>
      </c>
      <c r="R37" s="3" t="str">
        <f t="shared" si="52"/>
        <v>HW</v>
      </c>
      <c r="S37" s="3" t="str">
        <f t="shared" si="53"/>
        <v>HW</v>
      </c>
      <c r="T37" s="3" t="str">
        <f t="shared" si="54"/>
        <v>HL</v>
      </c>
      <c r="U37" s="3" t="str">
        <f t="shared" si="55"/>
        <v>U</v>
      </c>
      <c r="V37" s="3" t="str">
        <f t="shared" si="56"/>
        <v>U</v>
      </c>
      <c r="W37" s="3" t="str">
        <f t="shared" si="57"/>
        <v>O</v>
      </c>
      <c r="X37" s="3" t="str">
        <f t="shared" si="58"/>
        <v>U</v>
      </c>
      <c r="Y37" s="3"/>
      <c r="Z37" s="3">
        <v>57.5</v>
      </c>
      <c r="AA37" t="s">
        <v>90</v>
      </c>
    </row>
    <row r="38" spans="1:27" ht="17.100000000000001" x14ac:dyDescent="0.45">
      <c r="A38" s="3">
        <v>191028</v>
      </c>
      <c r="B38" s="4">
        <v>0.29166666666666669</v>
      </c>
      <c r="C38" s="3" t="s">
        <v>38</v>
      </c>
      <c r="D38" s="3" t="s">
        <v>30</v>
      </c>
      <c r="E38" s="3">
        <v>35</v>
      </c>
      <c r="F38" s="3">
        <v>24</v>
      </c>
      <c r="G38" s="3">
        <v>33</v>
      </c>
      <c r="H38" s="3">
        <v>28</v>
      </c>
      <c r="I38" s="3">
        <v>14</v>
      </c>
      <c r="J38" s="3">
        <v>29</v>
      </c>
      <c r="K38" s="3">
        <v>28</v>
      </c>
      <c r="L38" s="3">
        <v>40</v>
      </c>
      <c r="M38" s="3">
        <v>23</v>
      </c>
      <c r="N38" s="3">
        <v>13</v>
      </c>
      <c r="O38" s="3">
        <f t="shared" si="59"/>
        <v>134</v>
      </c>
      <c r="P38" s="3">
        <f t="shared" si="50"/>
        <v>133</v>
      </c>
      <c r="Q38" s="3" t="str">
        <f t="shared" si="51"/>
        <v>HW</v>
      </c>
      <c r="R38" s="3" t="str">
        <f t="shared" si="52"/>
        <v>HL</v>
      </c>
      <c r="S38" s="3" t="str">
        <f t="shared" si="53"/>
        <v>HL</v>
      </c>
      <c r="T38" s="3" t="str">
        <f t="shared" si="54"/>
        <v>HW</v>
      </c>
      <c r="U38" s="3" t="str">
        <f t="shared" si="55"/>
        <v>O</v>
      </c>
      <c r="V38" s="3" t="str">
        <f t="shared" si="56"/>
        <v>U</v>
      </c>
      <c r="W38" s="3" t="str">
        <f t="shared" si="57"/>
        <v>O</v>
      </c>
      <c r="X38" s="3" t="str">
        <f t="shared" si="58"/>
        <v>U</v>
      </c>
      <c r="Y38" s="3"/>
      <c r="Z38" s="3">
        <v>54.5</v>
      </c>
      <c r="AA38" t="s">
        <v>91</v>
      </c>
    </row>
    <row r="39" spans="1:27" ht="17.100000000000001" x14ac:dyDescent="0.45">
      <c r="A39" s="3">
        <v>191028</v>
      </c>
      <c r="B39" s="1">
        <v>0.33333333333333331</v>
      </c>
      <c r="C39" s="3" t="s">
        <v>33</v>
      </c>
      <c r="D39" s="3" t="s">
        <v>45</v>
      </c>
      <c r="E39" s="3">
        <v>40</v>
      </c>
      <c r="F39" s="3">
        <v>31</v>
      </c>
      <c r="G39" s="3">
        <v>24</v>
      </c>
      <c r="H39" s="3">
        <v>24</v>
      </c>
      <c r="I39" s="3"/>
      <c r="J39" s="3">
        <v>25</v>
      </c>
      <c r="K39" s="3">
        <v>34</v>
      </c>
      <c r="L39" s="3">
        <v>36</v>
      </c>
      <c r="M39" s="3">
        <v>26</v>
      </c>
      <c r="N39" s="3"/>
      <c r="O39" s="3">
        <f t="shared" si="59"/>
        <v>119</v>
      </c>
      <c r="P39" s="3">
        <f t="shared" si="50"/>
        <v>121</v>
      </c>
      <c r="Q39" s="3" t="str">
        <f t="shared" si="51"/>
        <v>HW</v>
      </c>
      <c r="R39" s="3" t="str">
        <f t="shared" si="52"/>
        <v>HL</v>
      </c>
      <c r="S39" s="3" t="str">
        <f t="shared" si="53"/>
        <v>HL</v>
      </c>
      <c r="T39" s="3" t="str">
        <f t="shared" si="54"/>
        <v>HL</v>
      </c>
      <c r="U39" s="3" t="str">
        <f t="shared" si="55"/>
        <v>O</v>
      </c>
      <c r="V39" s="3" t="str">
        <f t="shared" si="56"/>
        <v>O</v>
      </c>
      <c r="W39" s="3" t="str">
        <f t="shared" si="57"/>
        <v>O</v>
      </c>
      <c r="X39" s="3" t="str">
        <f t="shared" si="58"/>
        <v>U</v>
      </c>
      <c r="Y39" s="3"/>
      <c r="Z39" s="3">
        <v>54</v>
      </c>
      <c r="AA39" t="s">
        <v>92</v>
      </c>
    </row>
    <row r="40" spans="1:27" ht="17.100000000000001" x14ac:dyDescent="0.45">
      <c r="A40" s="3">
        <v>191028</v>
      </c>
      <c r="B40" s="1">
        <v>0.33333333333333331</v>
      </c>
      <c r="C40" s="3" t="s">
        <v>29</v>
      </c>
      <c r="D40" s="6" t="s">
        <v>37</v>
      </c>
      <c r="E40" s="3">
        <v>36</v>
      </c>
      <c r="F40" s="3">
        <v>19</v>
      </c>
      <c r="G40" s="3">
        <v>22</v>
      </c>
      <c r="H40" s="3">
        <v>39</v>
      </c>
      <c r="I40" s="3"/>
      <c r="J40" s="3">
        <v>23</v>
      </c>
      <c r="K40" s="3">
        <v>34</v>
      </c>
      <c r="L40" s="3">
        <v>27</v>
      </c>
      <c r="M40" s="3">
        <v>25</v>
      </c>
      <c r="N40" s="3"/>
      <c r="O40" s="3">
        <f t="shared" si="59"/>
        <v>116</v>
      </c>
      <c r="P40" s="3">
        <f t="shared" si="50"/>
        <v>109</v>
      </c>
      <c r="Q40" s="3" t="str">
        <f t="shared" si="51"/>
        <v>HW</v>
      </c>
      <c r="R40" s="3" t="str">
        <f t="shared" si="52"/>
        <v>HL</v>
      </c>
      <c r="S40" s="3" t="str">
        <f t="shared" si="53"/>
        <v>HL</v>
      </c>
      <c r="T40" s="3" t="str">
        <f t="shared" si="54"/>
        <v>HW</v>
      </c>
      <c r="U40" s="3" t="str">
        <f t="shared" si="55"/>
        <v>O</v>
      </c>
      <c r="V40" s="3" t="str">
        <f t="shared" si="56"/>
        <v>U</v>
      </c>
      <c r="W40" s="3" t="str">
        <f t="shared" si="57"/>
        <v>U</v>
      </c>
      <c r="X40" s="3" t="str">
        <f t="shared" si="58"/>
        <v>O</v>
      </c>
      <c r="Y40" s="3"/>
      <c r="Z40" s="3">
        <v>54</v>
      </c>
      <c r="AA40" t="s">
        <v>93</v>
      </c>
    </row>
    <row r="41" spans="1:27" ht="17.100000000000001" x14ac:dyDescent="0.45">
      <c r="A41" s="3">
        <v>191028</v>
      </c>
      <c r="B41" s="4">
        <v>0.4375</v>
      </c>
      <c r="C41" s="3" t="s">
        <v>26</v>
      </c>
      <c r="D41" s="3" t="s">
        <v>31</v>
      </c>
      <c r="E41" s="3">
        <v>30</v>
      </c>
      <c r="F41" s="3">
        <v>33</v>
      </c>
      <c r="G41" s="3">
        <v>24</v>
      </c>
      <c r="H41" s="3">
        <v>33</v>
      </c>
      <c r="I41" s="3"/>
      <c r="J41" s="3">
        <v>28</v>
      </c>
      <c r="K41" s="3">
        <v>34</v>
      </c>
      <c r="L41" s="3">
        <v>18</v>
      </c>
      <c r="M41" s="3">
        <v>21</v>
      </c>
      <c r="N41" s="3"/>
      <c r="O41" s="3">
        <f t="shared" si="59"/>
        <v>120</v>
      </c>
      <c r="P41" s="3">
        <f t="shared" si="50"/>
        <v>101</v>
      </c>
      <c r="Q41" s="3" t="str">
        <f t="shared" si="51"/>
        <v>HW</v>
      </c>
      <c r="R41" s="3" t="str">
        <f t="shared" si="52"/>
        <v>HL</v>
      </c>
      <c r="S41" s="3" t="str">
        <f t="shared" si="53"/>
        <v>HW</v>
      </c>
      <c r="T41" s="3" t="str">
        <f t="shared" si="54"/>
        <v>HW</v>
      </c>
      <c r="U41" s="3" t="str">
        <f t="shared" si="55"/>
        <v>O</v>
      </c>
      <c r="V41" s="3" t="str">
        <f t="shared" si="56"/>
        <v>O</v>
      </c>
      <c r="W41" s="3" t="str">
        <f t="shared" si="57"/>
        <v>U</v>
      </c>
      <c r="X41" s="3" t="str">
        <f t="shared" si="58"/>
        <v>U</v>
      </c>
      <c r="Y41" s="3"/>
      <c r="Z41" s="3">
        <v>56</v>
      </c>
      <c r="AA41" t="s">
        <v>94</v>
      </c>
    </row>
    <row r="42" spans="1:27" ht="17.100000000000001" x14ac:dyDescent="0.45">
      <c r="A42" s="3">
        <v>191029</v>
      </c>
      <c r="B42" s="1">
        <v>0.33333333333333331</v>
      </c>
      <c r="C42" s="3" t="s">
        <v>36</v>
      </c>
      <c r="D42" s="3" t="s">
        <v>35</v>
      </c>
      <c r="E42" s="3">
        <v>33</v>
      </c>
      <c r="F42" s="3">
        <v>26</v>
      </c>
      <c r="G42" s="3">
        <v>19</v>
      </c>
      <c r="H42" s="3">
        <v>18</v>
      </c>
      <c r="I42" s="3"/>
      <c r="J42" s="3">
        <v>25</v>
      </c>
      <c r="K42" s="3">
        <v>28</v>
      </c>
      <c r="L42" s="3">
        <v>18</v>
      </c>
      <c r="M42" s="3">
        <v>23</v>
      </c>
      <c r="N42" s="3"/>
      <c r="O42" s="3">
        <f t="shared" si="59"/>
        <v>96</v>
      </c>
      <c r="P42" s="3">
        <f t="shared" si="50"/>
        <v>94</v>
      </c>
      <c r="Q42" s="3" t="str">
        <f t="shared" si="51"/>
        <v>HW</v>
      </c>
      <c r="R42" s="3" t="str">
        <f t="shared" si="52"/>
        <v>HL</v>
      </c>
      <c r="S42" s="3" t="str">
        <f t="shared" si="53"/>
        <v>HW</v>
      </c>
      <c r="T42" s="3" t="str">
        <f t="shared" si="54"/>
        <v>HL</v>
      </c>
      <c r="U42" s="3" t="str">
        <f t="shared" si="55"/>
        <v>O</v>
      </c>
      <c r="V42" s="3" t="str">
        <f t="shared" si="56"/>
        <v>U</v>
      </c>
      <c r="W42" s="3" t="str">
        <f t="shared" si="57"/>
        <v>U</v>
      </c>
      <c r="X42" s="3" t="str">
        <f t="shared" si="58"/>
        <v>U</v>
      </c>
      <c r="Y42" s="3"/>
      <c r="Z42" s="3">
        <v>54.5</v>
      </c>
      <c r="AA42" s="3" t="str">
        <f t="shared" ref="AA42:AA105" si="60">C42&amp;"/"&amp;D42</f>
        <v>DET/IND</v>
      </c>
    </row>
    <row r="43" spans="1:27" ht="17.100000000000001" x14ac:dyDescent="0.45">
      <c r="A43" s="3">
        <v>191029</v>
      </c>
      <c r="B43" s="1">
        <v>0.33333333333333331</v>
      </c>
      <c r="C43" s="3" t="s">
        <v>54</v>
      </c>
      <c r="D43" s="3" t="s">
        <v>32</v>
      </c>
      <c r="E43" s="3">
        <v>15</v>
      </c>
      <c r="F43" s="3">
        <v>27</v>
      </c>
      <c r="G43" s="3">
        <v>30</v>
      </c>
      <c r="H43" s="3">
        <v>33</v>
      </c>
      <c r="I43" s="3"/>
      <c r="J43" s="3">
        <v>33</v>
      </c>
      <c r="K43" s="3">
        <v>19</v>
      </c>
      <c r="L43" s="3">
        <v>28</v>
      </c>
      <c r="M43" s="3">
        <v>18</v>
      </c>
      <c r="N43" s="3"/>
      <c r="O43" s="3">
        <f t="shared" si="59"/>
        <v>105</v>
      </c>
      <c r="P43" s="3">
        <f t="shared" si="50"/>
        <v>98</v>
      </c>
      <c r="Q43" s="3" t="str">
        <f t="shared" si="51"/>
        <v>HL</v>
      </c>
      <c r="R43" s="3" t="str">
        <f t="shared" si="52"/>
        <v>HW</v>
      </c>
      <c r="S43" s="3" t="str">
        <f t="shared" si="53"/>
        <v>HW</v>
      </c>
      <c r="T43" s="3" t="str">
        <f t="shared" si="54"/>
        <v>HW</v>
      </c>
      <c r="U43" s="3" t="str">
        <f t="shared" si="55"/>
        <v>U</v>
      </c>
      <c r="V43" s="3" t="str">
        <f t="shared" si="56"/>
        <v>U</v>
      </c>
      <c r="W43" s="3" t="str">
        <f t="shared" si="57"/>
        <v>O</v>
      </c>
      <c r="X43" s="3" t="str">
        <f t="shared" si="58"/>
        <v>U</v>
      </c>
      <c r="Y43" s="3"/>
      <c r="Z43" s="3">
        <v>54.5</v>
      </c>
      <c r="AA43" s="3" t="str">
        <f t="shared" si="60"/>
        <v>NY/CHI</v>
      </c>
    </row>
    <row r="44" spans="1:27" ht="17.100000000000001" x14ac:dyDescent="0.45">
      <c r="A44" s="3">
        <v>191029</v>
      </c>
      <c r="B44" s="1">
        <v>0.35416666666666669</v>
      </c>
      <c r="C44" s="3" t="s">
        <v>50</v>
      </c>
      <c r="D44" s="3" t="s">
        <v>41</v>
      </c>
      <c r="E44" s="3">
        <v>40</v>
      </c>
      <c r="F44" s="3">
        <v>25</v>
      </c>
      <c r="G44" s="3">
        <v>18</v>
      </c>
      <c r="H44" s="3">
        <v>20</v>
      </c>
      <c r="I44" s="3"/>
      <c r="J44" s="3">
        <v>31</v>
      </c>
      <c r="K44" s="3">
        <v>32</v>
      </c>
      <c r="L44" s="3">
        <v>19</v>
      </c>
      <c r="M44" s="3">
        <v>23</v>
      </c>
      <c r="N44" s="3"/>
      <c r="O44" s="3">
        <f t="shared" si="59"/>
        <v>103</v>
      </c>
      <c r="P44" s="3">
        <f t="shared" si="50"/>
        <v>105</v>
      </c>
      <c r="Q44" s="3" t="str">
        <f t="shared" si="51"/>
        <v>HW</v>
      </c>
      <c r="R44" s="3" t="str">
        <f t="shared" si="52"/>
        <v>HL</v>
      </c>
      <c r="S44" s="3" t="str">
        <f t="shared" si="53"/>
        <v>HL</v>
      </c>
      <c r="T44" s="3" t="str">
        <f t="shared" si="54"/>
        <v>HL</v>
      </c>
      <c r="U44" s="3" t="str">
        <f t="shared" si="55"/>
        <v>O</v>
      </c>
      <c r="V44" s="3" t="str">
        <f t="shared" si="56"/>
        <v>U</v>
      </c>
      <c r="W44" s="3" t="str">
        <f t="shared" si="57"/>
        <v>U</v>
      </c>
      <c r="X44" s="3" t="str">
        <f t="shared" si="58"/>
        <v>U</v>
      </c>
      <c r="Y44" s="3"/>
      <c r="Z44" s="3">
        <v>57.5</v>
      </c>
      <c r="AA44" s="3" t="str">
        <f t="shared" si="60"/>
        <v>ATL/PHI</v>
      </c>
    </row>
    <row r="45" spans="1:27" ht="17.100000000000001" x14ac:dyDescent="0.45">
      <c r="A45" s="3">
        <v>191029</v>
      </c>
      <c r="B45" s="1">
        <v>0.35416666666666669</v>
      </c>
      <c r="C45" s="3" t="s">
        <v>28</v>
      </c>
      <c r="D45" s="3" t="s">
        <v>39</v>
      </c>
      <c r="E45" s="3">
        <v>31</v>
      </c>
      <c r="F45" s="3">
        <v>20</v>
      </c>
      <c r="G45" s="3">
        <v>27</v>
      </c>
      <c r="H45" s="3">
        <v>26</v>
      </c>
      <c r="I45" s="3"/>
      <c r="J45" s="3">
        <v>22</v>
      </c>
      <c r="K45" s="3">
        <v>24</v>
      </c>
      <c r="L45" s="3">
        <v>21</v>
      </c>
      <c r="M45" s="3">
        <v>28</v>
      </c>
      <c r="N45" s="3"/>
      <c r="O45" s="3">
        <f t="shared" si="59"/>
        <v>104</v>
      </c>
      <c r="P45" s="3">
        <f t="shared" si="50"/>
        <v>95</v>
      </c>
      <c r="Q45" s="3" t="str">
        <f t="shared" si="51"/>
        <v>HW</v>
      </c>
      <c r="R45" s="3" t="str">
        <f t="shared" si="52"/>
        <v>HL</v>
      </c>
      <c r="S45" s="3" t="str">
        <f t="shared" si="53"/>
        <v>HW</v>
      </c>
      <c r="T45" s="3" t="str">
        <f t="shared" si="54"/>
        <v>HL</v>
      </c>
      <c r="U45" s="3" t="str">
        <f t="shared" si="55"/>
        <v>U</v>
      </c>
      <c r="V45" s="3" t="str">
        <f t="shared" si="56"/>
        <v>U</v>
      </c>
      <c r="W45" s="3" t="str">
        <f t="shared" si="57"/>
        <v>U</v>
      </c>
      <c r="X45" s="3" t="str">
        <f t="shared" si="58"/>
        <v>T</v>
      </c>
      <c r="Y45" s="3"/>
      <c r="Z45" s="3">
        <v>54</v>
      </c>
      <c r="AA45" s="3" t="str">
        <f t="shared" si="60"/>
        <v>TOR/ORL</v>
      </c>
    </row>
    <row r="46" spans="1:27" ht="17.100000000000001" x14ac:dyDescent="0.45">
      <c r="A46" s="3">
        <v>191029</v>
      </c>
      <c r="B46" s="1">
        <v>0.375</v>
      </c>
      <c r="C46" s="3" t="s">
        <v>27</v>
      </c>
      <c r="D46" s="6" t="s">
        <v>51</v>
      </c>
      <c r="E46" s="3">
        <v>23</v>
      </c>
      <c r="F46" s="3">
        <v>32</v>
      </c>
      <c r="G46" s="3">
        <v>24</v>
      </c>
      <c r="H46" s="3">
        <v>44</v>
      </c>
      <c r="I46" s="3"/>
      <c r="J46" s="3">
        <v>27</v>
      </c>
      <c r="K46" s="3">
        <v>45</v>
      </c>
      <c r="L46" s="3">
        <v>31</v>
      </c>
      <c r="M46" s="3">
        <v>31</v>
      </c>
      <c r="N46" s="3"/>
      <c r="O46" s="3">
        <f t="shared" si="59"/>
        <v>123</v>
      </c>
      <c r="P46" s="3">
        <f t="shared" si="50"/>
        <v>134</v>
      </c>
      <c r="Q46" s="3" t="str">
        <f t="shared" si="51"/>
        <v>HL</v>
      </c>
      <c r="R46" s="3" t="str">
        <f t="shared" si="52"/>
        <v>HL</v>
      </c>
      <c r="S46" s="3" t="str">
        <f t="shared" si="53"/>
        <v>HL</v>
      </c>
      <c r="T46" s="3" t="str">
        <f t="shared" si="54"/>
        <v>HW</v>
      </c>
      <c r="U46" s="3" t="str">
        <f t="shared" si="55"/>
        <v>U</v>
      </c>
      <c r="V46" s="3" t="str">
        <f t="shared" si="56"/>
        <v>O</v>
      </c>
      <c r="W46" s="3" t="str">
        <f t="shared" si="57"/>
        <v>U</v>
      </c>
      <c r="X46" s="3" t="str">
        <f t="shared" si="58"/>
        <v>O</v>
      </c>
      <c r="Y46" s="3"/>
      <c r="Z46" s="3">
        <v>61</v>
      </c>
      <c r="AA46" s="3" t="str">
        <f t="shared" si="60"/>
        <v>NO/GS</v>
      </c>
    </row>
    <row r="47" spans="1:27" ht="17.100000000000001" x14ac:dyDescent="0.45">
      <c r="A47" s="3">
        <v>191029</v>
      </c>
      <c r="B47" s="1">
        <v>0.375</v>
      </c>
      <c r="C47" s="3" t="s">
        <v>52</v>
      </c>
      <c r="D47" s="6" t="s">
        <v>49</v>
      </c>
      <c r="E47" s="3">
        <v>22</v>
      </c>
      <c r="F47" s="3">
        <v>30</v>
      </c>
      <c r="G47" s="3">
        <v>39</v>
      </c>
      <c r="H47" s="3">
        <v>25</v>
      </c>
      <c r="I47" s="3"/>
      <c r="J47" s="3">
        <v>35</v>
      </c>
      <c r="K47" s="3">
        <v>27</v>
      </c>
      <c r="L47" s="3">
        <v>18</v>
      </c>
      <c r="M47" s="3">
        <v>32</v>
      </c>
      <c r="N47" s="3"/>
      <c r="O47" s="3">
        <f t="shared" si="59"/>
        <v>116</v>
      </c>
      <c r="P47" s="3">
        <f t="shared" si="50"/>
        <v>112</v>
      </c>
      <c r="Q47" s="3" t="str">
        <f t="shared" si="51"/>
        <v>HL</v>
      </c>
      <c r="R47" s="3" t="str">
        <f t="shared" si="52"/>
        <v>HW</v>
      </c>
      <c r="S47" s="3" t="str">
        <f t="shared" si="53"/>
        <v>HW</v>
      </c>
      <c r="T47" s="3" t="str">
        <f t="shared" si="54"/>
        <v>HL</v>
      </c>
      <c r="U47" s="3" t="str">
        <f t="shared" si="55"/>
        <v>U</v>
      </c>
      <c r="V47" s="3" t="str">
        <f t="shared" si="56"/>
        <v>U</v>
      </c>
      <c r="W47" s="3" t="str">
        <f t="shared" si="57"/>
        <v>U</v>
      </c>
      <c r="X47" s="3" t="str">
        <f t="shared" si="58"/>
        <v>U</v>
      </c>
      <c r="Y47" s="3"/>
      <c r="Z47" s="3">
        <v>58.5</v>
      </c>
      <c r="AA47" s="3" t="str">
        <f t="shared" si="60"/>
        <v>HOU/OKC</v>
      </c>
    </row>
    <row r="48" spans="1:27" ht="17.100000000000001" x14ac:dyDescent="0.45">
      <c r="A48" s="3">
        <v>191029</v>
      </c>
      <c r="B48" s="1">
        <v>0.375</v>
      </c>
      <c r="C48" s="3" t="s">
        <v>53</v>
      </c>
      <c r="D48" s="3" t="s">
        <v>40</v>
      </c>
      <c r="E48" s="3">
        <v>30</v>
      </c>
      <c r="F48" s="3">
        <v>29</v>
      </c>
      <c r="G48" s="3">
        <v>32</v>
      </c>
      <c r="H48" s="3">
        <v>38</v>
      </c>
      <c r="I48" s="3"/>
      <c r="J48" s="3">
        <v>31</v>
      </c>
      <c r="K48" s="3">
        <v>21</v>
      </c>
      <c r="L48" s="3">
        <v>28</v>
      </c>
      <c r="M48" s="3">
        <v>32</v>
      </c>
      <c r="N48" s="3"/>
      <c r="O48" s="3">
        <f t="shared" si="59"/>
        <v>129</v>
      </c>
      <c r="P48" s="3">
        <f t="shared" si="50"/>
        <v>112</v>
      </c>
      <c r="Q48" s="3" t="str">
        <f t="shared" si="51"/>
        <v>HL</v>
      </c>
      <c r="R48" s="3" t="str">
        <f t="shared" si="52"/>
        <v>HW</v>
      </c>
      <c r="S48" s="3" t="str">
        <f t="shared" si="53"/>
        <v>HW</v>
      </c>
      <c r="T48" s="3" t="str">
        <f t="shared" si="54"/>
        <v>HW</v>
      </c>
      <c r="U48" s="3" t="str">
        <f t="shared" si="55"/>
        <v>O</v>
      </c>
      <c r="V48" s="3" t="str">
        <f t="shared" si="56"/>
        <v>U</v>
      </c>
      <c r="W48" s="3" t="str">
        <f t="shared" si="57"/>
        <v>O</v>
      </c>
      <c r="X48" s="3" t="str">
        <f t="shared" si="58"/>
        <v>O</v>
      </c>
      <c r="Y48" s="3"/>
      <c r="Z48" s="3">
        <v>55</v>
      </c>
      <c r="AA48" s="3" t="str">
        <f t="shared" si="60"/>
        <v>MIL/CLE</v>
      </c>
    </row>
    <row r="49" spans="1:27" ht="17.100000000000001" x14ac:dyDescent="0.45">
      <c r="A49" s="3">
        <v>191029</v>
      </c>
      <c r="B49" s="1">
        <v>0.39583333333333331</v>
      </c>
      <c r="C49" s="3" t="s">
        <v>56</v>
      </c>
      <c r="D49" s="6" t="s">
        <v>45</v>
      </c>
      <c r="E49" s="3">
        <v>19</v>
      </c>
      <c r="F49" s="3">
        <v>26</v>
      </c>
      <c r="G49" s="3">
        <v>37</v>
      </c>
      <c r="H49" s="3">
        <v>31</v>
      </c>
      <c r="I49" s="3"/>
      <c r="J49" s="3">
        <v>33</v>
      </c>
      <c r="K49" s="3">
        <v>18</v>
      </c>
      <c r="L49" s="3">
        <v>20</v>
      </c>
      <c r="M49" s="3">
        <v>39</v>
      </c>
      <c r="N49" s="3"/>
      <c r="O49" s="3">
        <f t="shared" si="59"/>
        <v>113</v>
      </c>
      <c r="P49" s="3">
        <f t="shared" si="50"/>
        <v>110</v>
      </c>
      <c r="Q49" s="3" t="str">
        <f t="shared" si="51"/>
        <v>HL</v>
      </c>
      <c r="R49" s="3" t="str">
        <f t="shared" si="52"/>
        <v>HW</v>
      </c>
      <c r="S49" s="3" t="str">
        <f t="shared" si="53"/>
        <v>HW</v>
      </c>
      <c r="T49" s="3" t="str">
        <f t="shared" si="54"/>
        <v>HL</v>
      </c>
      <c r="U49" s="3" t="str">
        <f t="shared" si="55"/>
        <v>U</v>
      </c>
      <c r="V49" s="3" t="str">
        <f t="shared" si="56"/>
        <v>U</v>
      </c>
      <c r="W49" s="3" t="str">
        <f t="shared" si="57"/>
        <v>O</v>
      </c>
      <c r="X49" s="3" t="str">
        <f t="shared" si="58"/>
        <v>O</v>
      </c>
      <c r="Y49" s="3"/>
      <c r="Z49" s="3">
        <v>54</v>
      </c>
      <c r="AA49" s="3" t="str">
        <f t="shared" si="60"/>
        <v>SAS/POR</v>
      </c>
    </row>
    <row r="50" spans="1:27" ht="17.100000000000001" x14ac:dyDescent="0.45">
      <c r="A50" s="3">
        <v>191029</v>
      </c>
      <c r="B50" s="10">
        <v>0.45833333333333331</v>
      </c>
      <c r="C50" s="3" t="s">
        <v>43</v>
      </c>
      <c r="D50" s="3" t="s">
        <v>48</v>
      </c>
      <c r="E50" s="3">
        <v>21</v>
      </c>
      <c r="F50" s="3">
        <v>18</v>
      </c>
      <c r="G50" s="3">
        <v>31</v>
      </c>
      <c r="H50" s="3">
        <v>25</v>
      </c>
      <c r="I50" s="3"/>
      <c r="J50" s="3">
        <v>28</v>
      </c>
      <c r="K50" s="3">
        <v>18</v>
      </c>
      <c r="L50" s="3">
        <v>24</v>
      </c>
      <c r="M50" s="3">
        <v>26</v>
      </c>
      <c r="N50" s="3"/>
      <c r="O50" s="3">
        <f t="shared" si="59"/>
        <v>95</v>
      </c>
      <c r="P50" s="3">
        <f t="shared" si="50"/>
        <v>96</v>
      </c>
      <c r="Q50" s="3" t="str">
        <f t="shared" si="51"/>
        <v>HL</v>
      </c>
      <c r="R50" s="3" t="str">
        <f t="shared" si="52"/>
        <v>TT</v>
      </c>
      <c r="S50" s="3" t="str">
        <f t="shared" si="53"/>
        <v>HW</v>
      </c>
      <c r="T50" s="3" t="str">
        <f t="shared" si="54"/>
        <v>HL</v>
      </c>
      <c r="U50" s="3" t="str">
        <f t="shared" si="55"/>
        <v>U</v>
      </c>
      <c r="V50" s="3" t="str">
        <f t="shared" si="56"/>
        <v>U</v>
      </c>
      <c r="W50" s="3" t="str">
        <f t="shared" si="57"/>
        <v>O</v>
      </c>
      <c r="X50" s="3" t="str">
        <f t="shared" si="58"/>
        <v>U</v>
      </c>
      <c r="Y50" s="3"/>
      <c r="Z50" s="3">
        <v>52</v>
      </c>
      <c r="AA50" s="3" t="str">
        <f t="shared" si="60"/>
        <v>PHO/UTA</v>
      </c>
    </row>
    <row r="51" spans="1:27" ht="17.100000000000001" x14ac:dyDescent="0.45">
      <c r="A51" s="3">
        <v>191029</v>
      </c>
      <c r="B51" s="4">
        <v>0.45833333333333331</v>
      </c>
      <c r="C51" s="3" t="s">
        <v>44</v>
      </c>
      <c r="D51" s="3" t="s">
        <v>46</v>
      </c>
      <c r="E51" s="3">
        <v>28</v>
      </c>
      <c r="F51" s="3">
        <v>25</v>
      </c>
      <c r="G51" s="3">
        <v>17</v>
      </c>
      <c r="H51" s="3">
        <v>24</v>
      </c>
      <c r="I51" s="3"/>
      <c r="J51" s="3">
        <v>21</v>
      </c>
      <c r="K51" s="3">
        <v>26</v>
      </c>
      <c r="L51" s="3">
        <v>30</v>
      </c>
      <c r="M51" s="3">
        <v>24</v>
      </c>
      <c r="N51" s="3"/>
      <c r="O51" s="3">
        <f t="shared" si="59"/>
        <v>94</v>
      </c>
      <c r="P51" s="3">
        <f t="shared" si="50"/>
        <v>101</v>
      </c>
      <c r="Q51" s="3" t="str">
        <f t="shared" si="51"/>
        <v>HW</v>
      </c>
      <c r="R51" s="3" t="str">
        <f t="shared" si="52"/>
        <v>HL</v>
      </c>
      <c r="S51" s="3" t="str">
        <f t="shared" si="53"/>
        <v>HL</v>
      </c>
      <c r="T51" s="3" t="str">
        <f t="shared" si="54"/>
        <v>TT</v>
      </c>
      <c r="U51" s="3" t="str">
        <f t="shared" si="55"/>
        <v>U</v>
      </c>
      <c r="V51" s="3" t="str">
        <f t="shared" si="56"/>
        <v>U</v>
      </c>
      <c r="W51" s="3" t="str">
        <f t="shared" si="57"/>
        <v>U</v>
      </c>
      <c r="X51" s="3" t="str">
        <f t="shared" si="58"/>
        <v>U</v>
      </c>
      <c r="Y51" s="3"/>
      <c r="Z51" s="3">
        <v>56</v>
      </c>
      <c r="AA51" s="3" t="str">
        <f t="shared" si="60"/>
        <v>SAC/DEN</v>
      </c>
    </row>
    <row r="52" spans="1:27" ht="17.100000000000001" x14ac:dyDescent="0.45">
      <c r="A52" s="3">
        <v>191029</v>
      </c>
      <c r="B52" s="1">
        <v>0.47916666666666669</v>
      </c>
      <c r="C52" s="3" t="s">
        <v>25</v>
      </c>
      <c r="D52" s="6" t="s">
        <v>31</v>
      </c>
      <c r="E52" s="3">
        <v>29</v>
      </c>
      <c r="F52" s="3">
        <v>28</v>
      </c>
      <c r="G52" s="3">
        <v>29</v>
      </c>
      <c r="H52" s="3">
        <v>25</v>
      </c>
      <c r="I52" s="3"/>
      <c r="J52" s="3">
        <v>28</v>
      </c>
      <c r="K52" s="3">
        <v>26</v>
      </c>
      <c r="L52" s="3">
        <v>20</v>
      </c>
      <c r="M52" s="3">
        <v>22</v>
      </c>
      <c r="N52" s="3"/>
      <c r="O52" s="3">
        <f t="shared" si="59"/>
        <v>111</v>
      </c>
      <c r="P52" s="3">
        <f t="shared" si="50"/>
        <v>96</v>
      </c>
      <c r="Q52" s="3" t="str">
        <f t="shared" si="51"/>
        <v>HW</v>
      </c>
      <c r="R52" s="3" t="str">
        <f t="shared" si="52"/>
        <v>HW</v>
      </c>
      <c r="S52" s="3" t="str">
        <f t="shared" si="53"/>
        <v>HW</v>
      </c>
      <c r="T52" s="3" t="str">
        <f t="shared" si="54"/>
        <v>HW</v>
      </c>
      <c r="U52" s="3" t="str">
        <f t="shared" si="55"/>
        <v>U</v>
      </c>
      <c r="V52" s="3" t="str">
        <f t="shared" si="56"/>
        <v>U</v>
      </c>
      <c r="W52" s="3" t="str">
        <f t="shared" si="57"/>
        <v>U</v>
      </c>
      <c r="X52" s="3" t="str">
        <f t="shared" si="58"/>
        <v>U</v>
      </c>
      <c r="Y52" s="3"/>
      <c r="Z52" s="3">
        <v>58.5</v>
      </c>
      <c r="AA52" s="3" t="str">
        <f t="shared" si="60"/>
        <v>LAC/CHA</v>
      </c>
    </row>
    <row r="53" spans="1:27" ht="17.100000000000001" x14ac:dyDescent="0.45">
      <c r="A53" s="3">
        <v>191030</v>
      </c>
      <c r="B53" s="1">
        <v>0.35416666666666669</v>
      </c>
      <c r="C53" t="s">
        <v>95</v>
      </c>
      <c r="D53" t="s">
        <v>96</v>
      </c>
      <c r="E53" s="3">
        <v>29</v>
      </c>
      <c r="F53" s="3">
        <v>30</v>
      </c>
      <c r="G53" s="3">
        <v>29</v>
      </c>
      <c r="H53" s="3">
        <v>24</v>
      </c>
      <c r="I53" s="3"/>
      <c r="J53" s="3">
        <v>26</v>
      </c>
      <c r="K53" s="3">
        <v>23</v>
      </c>
      <c r="L53" s="3">
        <v>21</v>
      </c>
      <c r="M53" s="3">
        <v>27</v>
      </c>
      <c r="O53" s="3">
        <f t="shared" ref="O53:O55" si="61">SUM(E53:I53)</f>
        <v>112</v>
      </c>
      <c r="P53" s="3">
        <f t="shared" ref="P53:P55" si="62">SUM(J53:N53)</f>
        <v>97</v>
      </c>
      <c r="Q53" s="3" t="str">
        <f t="shared" ref="Q53:Q55" si="63">IF(E53=J53,"TT",IF(E53&gt;J53,"HW","HL"))</f>
        <v>HW</v>
      </c>
      <c r="R53" s="3" t="str">
        <f t="shared" ref="R53:R55" si="64">IF(F53=K53,"TT",IF(F53&gt;K53,"HW","HL"))</f>
        <v>HW</v>
      </c>
      <c r="S53" s="3" t="str">
        <f t="shared" ref="S53:S55" si="65">IF(G53=L53,"TT",IF(G53&gt;L53,"HW","HL"))</f>
        <v>HW</v>
      </c>
      <c r="T53" s="3" t="str">
        <f t="shared" ref="T53:T55" si="66">IF(H53=M53,"TT",IF(H53&gt;M53,"HW","HL"))</f>
        <v>HL</v>
      </c>
      <c r="U53" s="3" t="str">
        <f t="shared" ref="U53:U55" si="67">IF(SUM(E53,J53)=$Z53,"T",IF(SUM(E53,J53)&gt;$Z53,"O","U"))</f>
        <v>U</v>
      </c>
      <c r="V53" s="3" t="str">
        <f t="shared" ref="V53:V55" si="68">IF(SUM(F53,K53)=$Z53,"T",IF(SUM(F53,K53)&gt;$Z53,"O","U"))</f>
        <v>U</v>
      </c>
      <c r="W53" s="3" t="str">
        <f t="shared" ref="W53:W55" si="69">IF(SUM(G53,L53)=$Z53,"T",IF(SUM(G53,L53)&gt;$Z53,"O","U"))</f>
        <v>U</v>
      </c>
      <c r="X53" s="3" t="str">
        <f t="shared" ref="X53:X55" si="70">IF(SUM(H53,M53)=$Z53,"T",IF(SUM(H53,M53)&gt;$Z53,"O","U"))</f>
        <v>U</v>
      </c>
      <c r="Z53">
        <v>57.5</v>
      </c>
      <c r="AA53" t="str">
        <f t="shared" si="60"/>
        <v>MIA/ATL</v>
      </c>
    </row>
    <row r="54" spans="1:27" ht="17.100000000000001" x14ac:dyDescent="0.45">
      <c r="A54" s="3">
        <v>191030</v>
      </c>
      <c r="B54" s="1">
        <v>0.41666666666666669</v>
      </c>
      <c r="C54" t="s">
        <v>97</v>
      </c>
      <c r="D54" t="s">
        <v>98</v>
      </c>
      <c r="E54" s="3">
        <v>31</v>
      </c>
      <c r="F54" s="3">
        <v>30</v>
      </c>
      <c r="G54" s="3">
        <v>27</v>
      </c>
      <c r="H54" s="3">
        <v>18</v>
      </c>
      <c r="I54" s="3"/>
      <c r="J54" s="3">
        <v>27</v>
      </c>
      <c r="K54" s="3">
        <v>33</v>
      </c>
      <c r="L54" s="3">
        <v>23</v>
      </c>
      <c r="M54" s="3">
        <v>26</v>
      </c>
      <c r="O54" s="3">
        <f t="shared" si="61"/>
        <v>106</v>
      </c>
      <c r="P54" s="3">
        <f t="shared" si="62"/>
        <v>109</v>
      </c>
      <c r="Q54" s="3" t="str">
        <f t="shared" si="63"/>
        <v>HW</v>
      </c>
      <c r="R54" s="3" t="str">
        <f t="shared" si="64"/>
        <v>HL</v>
      </c>
      <c r="S54" s="3" t="str">
        <f t="shared" si="65"/>
        <v>HW</v>
      </c>
      <c r="T54" s="3" t="str">
        <f t="shared" si="66"/>
        <v>HL</v>
      </c>
      <c r="U54" s="3" t="str">
        <f t="shared" si="67"/>
        <v>O</v>
      </c>
      <c r="V54" s="3" t="str">
        <f t="shared" si="68"/>
        <v>O</v>
      </c>
      <c r="W54" s="3" t="str">
        <f t="shared" si="69"/>
        <v>U</v>
      </c>
      <c r="X54" s="3" t="str">
        <f t="shared" si="70"/>
        <v>U</v>
      </c>
      <c r="Z54">
        <v>55</v>
      </c>
      <c r="AA54" t="str">
        <f t="shared" si="60"/>
        <v>DEN/DAL</v>
      </c>
    </row>
    <row r="55" spans="1:27" ht="17.100000000000001" x14ac:dyDescent="0.45">
      <c r="A55" s="3">
        <v>191030</v>
      </c>
      <c r="B55" s="10">
        <v>0.47916666666666669</v>
      </c>
      <c r="C55" t="s">
        <v>99</v>
      </c>
      <c r="D55" t="s">
        <v>100</v>
      </c>
      <c r="E55" s="3">
        <v>27</v>
      </c>
      <c r="F55" s="3">
        <v>22</v>
      </c>
      <c r="G55" s="3">
        <v>39</v>
      </c>
      <c r="H55" s="3">
        <v>32</v>
      </c>
      <c r="I55" s="3"/>
      <c r="J55" s="3">
        <v>32</v>
      </c>
      <c r="K55" s="3">
        <v>15</v>
      </c>
      <c r="L55" s="3">
        <v>20</v>
      </c>
      <c r="M55" s="3">
        <v>24</v>
      </c>
      <c r="O55" s="3">
        <f t="shared" si="61"/>
        <v>120</v>
      </c>
      <c r="P55" s="3">
        <f t="shared" si="62"/>
        <v>91</v>
      </c>
      <c r="Q55" s="3" t="str">
        <f t="shared" si="63"/>
        <v>HL</v>
      </c>
      <c r="R55" s="3" t="str">
        <f t="shared" si="64"/>
        <v>HW</v>
      </c>
      <c r="S55" s="3" t="str">
        <f t="shared" si="65"/>
        <v>HW</v>
      </c>
      <c r="T55" s="3" t="str">
        <f t="shared" si="66"/>
        <v>HW</v>
      </c>
      <c r="U55" s="3" t="str">
        <f t="shared" si="67"/>
        <v>O</v>
      </c>
      <c r="V55" s="3" t="str">
        <f t="shared" si="68"/>
        <v>U</v>
      </c>
      <c r="W55" s="3" t="str">
        <f t="shared" si="69"/>
        <v>O</v>
      </c>
      <c r="X55" s="3" t="str">
        <f t="shared" si="70"/>
        <v>O</v>
      </c>
      <c r="Z55">
        <v>55</v>
      </c>
      <c r="AA55" t="str">
        <f t="shared" si="60"/>
        <v>LAL/MEM</v>
      </c>
    </row>
    <row r="56" spans="1:27" ht="17.100000000000001" x14ac:dyDescent="0.45">
      <c r="A56">
        <v>191031</v>
      </c>
      <c r="B56" s="1">
        <v>0.33333333333333331</v>
      </c>
      <c r="C56" t="s">
        <v>40</v>
      </c>
      <c r="D56" t="s">
        <v>101</v>
      </c>
      <c r="E56">
        <v>25</v>
      </c>
      <c r="F56">
        <v>25</v>
      </c>
      <c r="G56">
        <v>30</v>
      </c>
      <c r="H56">
        <v>37</v>
      </c>
      <c r="J56">
        <v>26</v>
      </c>
      <c r="K56">
        <v>27</v>
      </c>
      <c r="L56">
        <v>29</v>
      </c>
      <c r="M56">
        <v>29</v>
      </c>
      <c r="O56" s="3">
        <f t="shared" ref="O56:O97" si="71">SUM(E56:I56)</f>
        <v>117</v>
      </c>
      <c r="P56" s="3">
        <f t="shared" ref="P56:P97" si="72">SUM(J56:N56)</f>
        <v>111</v>
      </c>
      <c r="Q56" s="3" t="str">
        <f t="shared" ref="Q56:Q97" si="73">IF(E56=J56,"TT",IF(E56&gt;J56,"HW","HL"))</f>
        <v>HL</v>
      </c>
      <c r="R56" s="3" t="str">
        <f t="shared" ref="R56:R97" si="74">IF(F56=K56,"TT",IF(F56&gt;K56,"HW","HL"))</f>
        <v>HL</v>
      </c>
      <c r="S56" s="3" t="str">
        <f t="shared" ref="S56:S97" si="75">IF(G56=L56,"TT",IF(G56&gt;L56,"HW","HL"))</f>
        <v>HW</v>
      </c>
      <c r="T56" s="3" t="str">
        <f t="shared" ref="T56:T97" si="76">IF(H56=M56,"TT",IF(H56&gt;M56,"HW","HL"))</f>
        <v>HW</v>
      </c>
      <c r="U56" s="3" t="str">
        <f t="shared" ref="U56:U97" si="77">IF(SUM(E56,J56)=$Z56,"T",IF(SUM(E56,J56)&gt;$Z56,"O","U"))</f>
        <v>U</v>
      </c>
      <c r="V56" s="3" t="str">
        <f t="shared" ref="V56:V97" si="78">IF(SUM(F56,K56)=$Z56,"T",IF(SUM(F56,K56)&gt;$Z56,"O","U"))</f>
        <v>U</v>
      </c>
      <c r="W56" s="3" t="str">
        <f t="shared" ref="W56:W97" si="79">IF(SUM(G56,L56)=$Z56,"T",IF(SUM(G56,L56)&gt;$Z56,"O","U"))</f>
        <v>O</v>
      </c>
      <c r="X56" s="3" t="str">
        <f t="shared" ref="X56:X97" si="80">IF(SUM(H56,M56)=$Z56,"T",IF(SUM(H56,M56)&gt;$Z56,"O","U"))</f>
        <v>O</v>
      </c>
      <c r="Z56">
        <v>53.5</v>
      </c>
      <c r="AA56" t="str">
        <f t="shared" si="60"/>
        <v>CLE/CHI</v>
      </c>
    </row>
    <row r="57" spans="1:27" ht="17.100000000000001" x14ac:dyDescent="0.45">
      <c r="A57" s="3">
        <v>191031</v>
      </c>
      <c r="B57" s="1">
        <v>0.33333333333333331</v>
      </c>
      <c r="C57" t="s">
        <v>102</v>
      </c>
      <c r="D57" t="s">
        <v>103</v>
      </c>
      <c r="E57">
        <v>22</v>
      </c>
      <c r="F57">
        <v>20</v>
      </c>
      <c r="G57">
        <v>30</v>
      </c>
      <c r="H57">
        <v>23</v>
      </c>
      <c r="J57">
        <v>25</v>
      </c>
      <c r="K57">
        <v>19</v>
      </c>
      <c r="L57">
        <v>23</v>
      </c>
      <c r="M57">
        <v>16</v>
      </c>
      <c r="O57" s="3">
        <f t="shared" si="71"/>
        <v>95</v>
      </c>
      <c r="P57" s="3">
        <f t="shared" si="72"/>
        <v>83</v>
      </c>
      <c r="Q57" s="3" t="str">
        <f t="shared" si="73"/>
        <v>HL</v>
      </c>
      <c r="R57" s="3" t="str">
        <f t="shared" si="74"/>
        <v>HW</v>
      </c>
      <c r="S57" s="3" t="str">
        <f t="shared" si="75"/>
        <v>HW</v>
      </c>
      <c r="T57" s="3" t="str">
        <f t="shared" si="76"/>
        <v>HW</v>
      </c>
      <c r="U57" s="3" t="str">
        <f t="shared" si="77"/>
        <v>U</v>
      </c>
      <c r="V57" s="3" t="str">
        <f t="shared" si="78"/>
        <v>U</v>
      </c>
      <c r="W57" s="3" t="str">
        <f t="shared" si="79"/>
        <v>U</v>
      </c>
      <c r="X57" s="3" t="str">
        <f t="shared" si="80"/>
        <v>U</v>
      </c>
      <c r="Z57">
        <v>54.5</v>
      </c>
      <c r="AA57" t="str">
        <f t="shared" si="60"/>
        <v>ORL/NYK</v>
      </c>
    </row>
    <row r="58" spans="1:27" ht="17.100000000000001" x14ac:dyDescent="0.45">
      <c r="A58" s="3">
        <v>191031</v>
      </c>
      <c r="B58" s="1">
        <v>0.33333333333333331</v>
      </c>
      <c r="C58" t="s">
        <v>104</v>
      </c>
      <c r="D58" t="s">
        <v>105</v>
      </c>
      <c r="E58">
        <v>32</v>
      </c>
      <c r="F58">
        <v>30</v>
      </c>
      <c r="G58">
        <v>30</v>
      </c>
      <c r="H58">
        <v>25</v>
      </c>
      <c r="J58">
        <v>24</v>
      </c>
      <c r="K58">
        <v>19</v>
      </c>
      <c r="L58">
        <v>35</v>
      </c>
      <c r="M58">
        <v>17</v>
      </c>
      <c r="O58" s="3">
        <f t="shared" si="71"/>
        <v>117</v>
      </c>
      <c r="P58" s="3">
        <f t="shared" si="72"/>
        <v>95</v>
      </c>
      <c r="Q58" s="3" t="str">
        <f t="shared" si="73"/>
        <v>HW</v>
      </c>
      <c r="R58" s="3" t="str">
        <f t="shared" si="74"/>
        <v>HW</v>
      </c>
      <c r="S58" s="3" t="str">
        <f t="shared" si="75"/>
        <v>HL</v>
      </c>
      <c r="T58" s="3" t="str">
        <f t="shared" si="76"/>
        <v>HW</v>
      </c>
      <c r="U58" s="3" t="str">
        <f t="shared" si="77"/>
        <v>U</v>
      </c>
      <c r="V58" s="3" t="str">
        <f t="shared" si="78"/>
        <v>U</v>
      </c>
      <c r="W58" s="3" t="str">
        <f t="shared" si="79"/>
        <v>O</v>
      </c>
      <c r="X58" s="3" t="str">
        <f t="shared" si="80"/>
        <v>U</v>
      </c>
      <c r="Z58">
        <v>57</v>
      </c>
      <c r="AA58" t="str">
        <f t="shared" si="60"/>
        <v>PHI/MIN</v>
      </c>
    </row>
    <row r="59" spans="1:27" ht="17.100000000000001" x14ac:dyDescent="0.45">
      <c r="A59" s="3">
        <v>191031</v>
      </c>
      <c r="B59" s="1">
        <v>0.35416666666666669</v>
      </c>
      <c r="C59" t="s">
        <v>106</v>
      </c>
      <c r="D59" t="s">
        <v>107</v>
      </c>
      <c r="E59">
        <v>19</v>
      </c>
      <c r="F59">
        <v>23</v>
      </c>
      <c r="G59">
        <v>38</v>
      </c>
      <c r="H59">
        <v>36</v>
      </c>
      <c r="J59">
        <v>34</v>
      </c>
      <c r="K59">
        <v>24</v>
      </c>
      <c r="L59">
        <v>18</v>
      </c>
      <c r="M59">
        <v>29</v>
      </c>
      <c r="O59" s="3">
        <f t="shared" si="71"/>
        <v>116</v>
      </c>
      <c r="P59" s="3">
        <f t="shared" si="72"/>
        <v>105</v>
      </c>
      <c r="Q59" s="3" t="str">
        <f t="shared" si="73"/>
        <v>HL</v>
      </c>
      <c r="R59" s="3" t="str">
        <f t="shared" si="74"/>
        <v>HL</v>
      </c>
      <c r="S59" s="3" t="str">
        <f t="shared" si="75"/>
        <v>HW</v>
      </c>
      <c r="T59" s="3" t="str">
        <f t="shared" si="76"/>
        <v>HW</v>
      </c>
      <c r="U59" s="3" t="str">
        <f t="shared" si="77"/>
        <v>U</v>
      </c>
      <c r="V59" s="3" t="str">
        <f t="shared" si="78"/>
        <v>U</v>
      </c>
      <c r="W59" s="3" t="str">
        <f t="shared" si="79"/>
        <v>O</v>
      </c>
      <c r="X59" s="3" t="str">
        <f t="shared" si="80"/>
        <v>O</v>
      </c>
      <c r="Z59">
        <v>55</v>
      </c>
      <c r="AA59" t="str">
        <f t="shared" si="60"/>
        <v>BOS/MIL</v>
      </c>
    </row>
    <row r="60" spans="1:27" ht="17.100000000000001" x14ac:dyDescent="0.45">
      <c r="A60" s="3">
        <v>191031</v>
      </c>
      <c r="B60" s="1">
        <v>0.35416666666666669</v>
      </c>
      <c r="C60" t="s">
        <v>108</v>
      </c>
      <c r="D60" t="s">
        <v>109</v>
      </c>
      <c r="E60">
        <v>31</v>
      </c>
      <c r="F60">
        <v>32</v>
      </c>
      <c r="G60">
        <v>20</v>
      </c>
      <c r="H60">
        <v>25</v>
      </c>
      <c r="J60">
        <v>31</v>
      </c>
      <c r="K60">
        <v>29</v>
      </c>
      <c r="L60">
        <v>30</v>
      </c>
      <c r="M60">
        <v>28</v>
      </c>
      <c r="O60" s="3">
        <f t="shared" si="71"/>
        <v>108</v>
      </c>
      <c r="P60" s="3">
        <f t="shared" si="72"/>
        <v>118</v>
      </c>
      <c r="Q60" s="3" t="str">
        <f t="shared" si="73"/>
        <v>TT</v>
      </c>
      <c r="R60" s="3" t="str">
        <f t="shared" si="74"/>
        <v>HW</v>
      </c>
      <c r="S60" s="3" t="str">
        <f t="shared" si="75"/>
        <v>HL</v>
      </c>
      <c r="T60" s="3" t="str">
        <f t="shared" si="76"/>
        <v>HL</v>
      </c>
      <c r="U60" s="3" t="str">
        <f t="shared" si="77"/>
        <v>O</v>
      </c>
      <c r="V60" s="3" t="str">
        <f t="shared" si="78"/>
        <v>O</v>
      </c>
      <c r="W60" s="3" t="str">
        <f t="shared" si="79"/>
        <v>U</v>
      </c>
      <c r="X60" s="3" t="str">
        <f t="shared" si="80"/>
        <v>U</v>
      </c>
      <c r="Z60">
        <v>57</v>
      </c>
      <c r="AA60" t="str">
        <f t="shared" si="60"/>
        <v>BKN/IND</v>
      </c>
    </row>
    <row r="61" spans="1:27" ht="17.100000000000001" x14ac:dyDescent="0.45">
      <c r="A61" s="3">
        <v>191031</v>
      </c>
      <c r="B61" s="1">
        <v>0.35416666666666669</v>
      </c>
      <c r="C61" t="s">
        <v>110</v>
      </c>
      <c r="D61" t="s">
        <v>111</v>
      </c>
      <c r="E61">
        <v>37</v>
      </c>
      <c r="F61">
        <v>27</v>
      </c>
      <c r="G61">
        <v>37</v>
      </c>
      <c r="H61">
        <v>24</v>
      </c>
      <c r="J61">
        <v>28</v>
      </c>
      <c r="K61">
        <v>30</v>
      </c>
      <c r="L61">
        <v>27</v>
      </c>
      <c r="M61">
        <v>28</v>
      </c>
      <c r="O61" s="3">
        <f t="shared" si="71"/>
        <v>125</v>
      </c>
      <c r="P61" s="3">
        <f t="shared" si="72"/>
        <v>113</v>
      </c>
      <c r="Q61" s="3" t="str">
        <f t="shared" si="73"/>
        <v>HW</v>
      </c>
      <c r="R61" s="3" t="str">
        <f t="shared" si="74"/>
        <v>HL</v>
      </c>
      <c r="S61" s="3" t="str">
        <f t="shared" si="75"/>
        <v>HW</v>
      </c>
      <c r="T61" s="3" t="str">
        <f t="shared" si="76"/>
        <v>HL</v>
      </c>
      <c r="U61" s="3" t="str">
        <f t="shared" si="77"/>
        <v>O</v>
      </c>
      <c r="V61" s="3" t="str">
        <f t="shared" si="78"/>
        <v>O</v>
      </c>
      <c r="W61" s="3" t="str">
        <f t="shared" si="79"/>
        <v>O</v>
      </c>
      <c r="X61" s="3" t="str">
        <f t="shared" si="80"/>
        <v>U</v>
      </c>
      <c r="Z61">
        <v>55</v>
      </c>
      <c r="AA61" t="str">
        <f t="shared" si="60"/>
        <v>TOR/DET</v>
      </c>
    </row>
    <row r="62" spans="1:27" ht="17.100000000000001" x14ac:dyDescent="0.45">
      <c r="A62" s="3">
        <v>191031</v>
      </c>
      <c r="B62" s="1">
        <v>0.375</v>
      </c>
      <c r="C62" t="s">
        <v>112</v>
      </c>
      <c r="D62" t="s">
        <v>113</v>
      </c>
      <c r="E62">
        <v>17</v>
      </c>
      <c r="F62">
        <v>27</v>
      </c>
      <c r="G62">
        <v>25</v>
      </c>
      <c r="H62">
        <v>30</v>
      </c>
      <c r="J62">
        <v>24</v>
      </c>
      <c r="K62">
        <v>25</v>
      </c>
      <c r="L62">
        <v>19</v>
      </c>
      <c r="M62">
        <v>34</v>
      </c>
      <c r="O62" s="3">
        <f t="shared" si="71"/>
        <v>99</v>
      </c>
      <c r="P62" s="3">
        <f t="shared" si="72"/>
        <v>102</v>
      </c>
      <c r="Q62" s="3" t="str">
        <f t="shared" si="73"/>
        <v>HL</v>
      </c>
      <c r="R62" s="3" t="str">
        <f t="shared" si="74"/>
        <v>HW</v>
      </c>
      <c r="S62" s="3" t="str">
        <f t="shared" si="75"/>
        <v>HW</v>
      </c>
      <c r="T62" s="3" t="str">
        <f t="shared" si="76"/>
        <v>HL</v>
      </c>
      <c r="U62" s="3" t="str">
        <f t="shared" si="77"/>
        <v>U</v>
      </c>
      <c r="V62" s="3" t="str">
        <f t="shared" si="78"/>
        <v>U</v>
      </c>
      <c r="W62" s="3" t="str">
        <f t="shared" si="79"/>
        <v>U</v>
      </c>
      <c r="X62" s="3" t="str">
        <f t="shared" si="80"/>
        <v>O</v>
      </c>
      <c r="Z62">
        <v>54</v>
      </c>
      <c r="AA62" t="str">
        <f t="shared" si="60"/>
        <v>OKC/POR</v>
      </c>
    </row>
    <row r="63" spans="1:27" ht="17.100000000000001" x14ac:dyDescent="0.45">
      <c r="A63" s="3">
        <v>191031</v>
      </c>
      <c r="B63" s="1">
        <v>0.375</v>
      </c>
      <c r="C63" t="s">
        <v>114</v>
      </c>
      <c r="D63" t="s">
        <v>115</v>
      </c>
      <c r="E63">
        <v>34</v>
      </c>
      <c r="F63">
        <v>43</v>
      </c>
      <c r="G63">
        <v>40</v>
      </c>
      <c r="H63">
        <v>41</v>
      </c>
      <c r="J63">
        <v>35</v>
      </c>
      <c r="K63">
        <v>41</v>
      </c>
      <c r="L63">
        <v>35</v>
      </c>
      <c r="M63">
        <v>48</v>
      </c>
      <c r="O63" s="3">
        <f t="shared" si="71"/>
        <v>158</v>
      </c>
      <c r="P63" s="3">
        <f t="shared" si="72"/>
        <v>159</v>
      </c>
      <c r="Q63" s="3" t="str">
        <f t="shared" si="73"/>
        <v>HL</v>
      </c>
      <c r="R63" s="3" t="str">
        <f t="shared" si="74"/>
        <v>HW</v>
      </c>
      <c r="S63" s="3" t="str">
        <f t="shared" si="75"/>
        <v>HW</v>
      </c>
      <c r="T63" s="3" t="str">
        <f t="shared" si="76"/>
        <v>HL</v>
      </c>
      <c r="U63" s="3" t="str">
        <f t="shared" si="77"/>
        <v>O</v>
      </c>
      <c r="V63" s="3" t="str">
        <f t="shared" si="78"/>
        <v>O</v>
      </c>
      <c r="W63" s="3" t="str">
        <f t="shared" si="79"/>
        <v>O</v>
      </c>
      <c r="X63" s="3" t="str">
        <f t="shared" si="80"/>
        <v>O</v>
      </c>
      <c r="Z63">
        <v>60.5</v>
      </c>
      <c r="AA63" t="str">
        <f t="shared" si="60"/>
        <v>WAS/HOU</v>
      </c>
    </row>
    <row r="64" spans="1:27" ht="17.100000000000001" x14ac:dyDescent="0.45">
      <c r="A64" s="3">
        <v>191031</v>
      </c>
      <c r="B64" s="1">
        <v>0.45833333333333331</v>
      </c>
      <c r="C64" s="11" t="s">
        <v>116</v>
      </c>
      <c r="D64" s="11" t="s">
        <v>117</v>
      </c>
      <c r="E64">
        <v>33</v>
      </c>
      <c r="F64">
        <v>33</v>
      </c>
      <c r="G64">
        <v>18</v>
      </c>
      <c r="H64">
        <v>27</v>
      </c>
      <c r="J64">
        <v>30</v>
      </c>
      <c r="K64">
        <v>31</v>
      </c>
      <c r="L64">
        <v>32</v>
      </c>
      <c r="M64">
        <v>25</v>
      </c>
      <c r="O64" s="3">
        <f t="shared" si="71"/>
        <v>111</v>
      </c>
      <c r="P64" s="3">
        <f t="shared" si="72"/>
        <v>118</v>
      </c>
      <c r="Q64" s="3" t="str">
        <f t="shared" si="73"/>
        <v>HW</v>
      </c>
      <c r="R64" s="3" t="str">
        <f t="shared" si="74"/>
        <v>HW</v>
      </c>
      <c r="S64" s="3" t="str">
        <f t="shared" si="75"/>
        <v>HL</v>
      </c>
      <c r="T64" s="3" t="str">
        <f t="shared" si="76"/>
        <v>HW</v>
      </c>
      <c r="U64" s="3" t="str">
        <f t="shared" si="77"/>
        <v>O</v>
      </c>
      <c r="V64" s="3" t="str">
        <f t="shared" si="78"/>
        <v>O</v>
      </c>
      <c r="W64" s="3" t="str">
        <f t="shared" si="79"/>
        <v>U</v>
      </c>
      <c r="X64" s="3" t="str">
        <f t="shared" si="80"/>
        <v>U</v>
      </c>
      <c r="Z64">
        <v>57.5</v>
      </c>
      <c r="AA64" t="str">
        <f t="shared" si="60"/>
        <v>SAC/CHA</v>
      </c>
    </row>
    <row r="65" spans="1:27" ht="17.100000000000001" x14ac:dyDescent="0.45">
      <c r="A65" s="3">
        <v>191031</v>
      </c>
      <c r="B65" s="1">
        <v>0.45833333333333331</v>
      </c>
      <c r="C65" t="s">
        <v>118</v>
      </c>
      <c r="D65" t="s">
        <v>119</v>
      </c>
      <c r="E65">
        <v>33</v>
      </c>
      <c r="F65">
        <v>19</v>
      </c>
      <c r="G65">
        <v>38</v>
      </c>
      <c r="H65">
        <v>20</v>
      </c>
      <c r="J65">
        <v>23</v>
      </c>
      <c r="K65">
        <v>28</v>
      </c>
      <c r="L65">
        <v>20</v>
      </c>
      <c r="M65">
        <v>25</v>
      </c>
      <c r="O65" s="3">
        <f t="shared" si="71"/>
        <v>110</v>
      </c>
      <c r="P65" s="3">
        <f t="shared" si="72"/>
        <v>96</v>
      </c>
      <c r="Q65" s="3" t="str">
        <f t="shared" si="73"/>
        <v>HW</v>
      </c>
      <c r="R65" s="3" t="str">
        <f t="shared" si="74"/>
        <v>HL</v>
      </c>
      <c r="S65" s="3" t="str">
        <f t="shared" si="75"/>
        <v>HW</v>
      </c>
      <c r="T65" s="3" t="str">
        <f t="shared" si="76"/>
        <v>HL</v>
      </c>
      <c r="U65" s="3" t="str">
        <f t="shared" si="77"/>
        <v>O</v>
      </c>
      <c r="V65" s="3" t="str">
        <f t="shared" si="78"/>
        <v>U</v>
      </c>
      <c r="W65" s="3" t="str">
        <f t="shared" si="79"/>
        <v>O</v>
      </c>
      <c r="X65" s="3" t="str">
        <f t="shared" si="80"/>
        <v>U</v>
      </c>
      <c r="Z65">
        <v>54.5</v>
      </c>
      <c r="AA65" t="str">
        <f t="shared" si="60"/>
        <v>UTA/LAC</v>
      </c>
    </row>
    <row r="66" spans="1:27" ht="17.100000000000001" x14ac:dyDescent="0.45">
      <c r="A66" s="3">
        <v>191031</v>
      </c>
      <c r="B66" s="1">
        <v>0.47916666666666669</v>
      </c>
      <c r="C66" t="s">
        <v>120</v>
      </c>
      <c r="D66" t="s">
        <v>121</v>
      </c>
      <c r="E66">
        <v>14</v>
      </c>
      <c r="F66">
        <v>32</v>
      </c>
      <c r="G66">
        <v>21</v>
      </c>
      <c r="H66">
        <v>43</v>
      </c>
      <c r="J66">
        <v>43</v>
      </c>
      <c r="K66">
        <v>29</v>
      </c>
      <c r="L66">
        <v>23</v>
      </c>
      <c r="M66">
        <v>26</v>
      </c>
      <c r="O66" s="3">
        <f t="shared" si="71"/>
        <v>110</v>
      </c>
      <c r="P66" s="3">
        <f t="shared" si="72"/>
        <v>121</v>
      </c>
      <c r="Q66" s="3" t="str">
        <f t="shared" si="73"/>
        <v>HL</v>
      </c>
      <c r="R66" s="3" t="str">
        <f t="shared" si="74"/>
        <v>HW</v>
      </c>
      <c r="S66" s="3" t="str">
        <f t="shared" si="75"/>
        <v>HL</v>
      </c>
      <c r="T66" s="3" t="str">
        <f t="shared" si="76"/>
        <v>HW</v>
      </c>
      <c r="U66" s="3" t="str">
        <f t="shared" si="77"/>
        <v>T</v>
      </c>
      <c r="V66" s="3" t="str">
        <f t="shared" si="78"/>
        <v>O</v>
      </c>
      <c r="W66" s="3" t="str">
        <f t="shared" si="79"/>
        <v>U</v>
      </c>
      <c r="X66" s="3" t="str">
        <f t="shared" si="80"/>
        <v>O</v>
      </c>
      <c r="Z66">
        <v>57</v>
      </c>
      <c r="AA66" t="str">
        <f t="shared" si="60"/>
        <v>GS/PHO</v>
      </c>
    </row>
    <row r="67" spans="1:27" ht="17.100000000000001" x14ac:dyDescent="0.45">
      <c r="A67" s="3">
        <v>191101</v>
      </c>
      <c r="B67" s="1">
        <v>0.33333333333333331</v>
      </c>
      <c r="C67" t="s">
        <v>122</v>
      </c>
      <c r="D67" t="s">
        <v>123</v>
      </c>
      <c r="E67">
        <v>26</v>
      </c>
      <c r="F67">
        <v>20</v>
      </c>
      <c r="G67">
        <v>29</v>
      </c>
      <c r="H67">
        <v>22</v>
      </c>
      <c r="J67">
        <v>30</v>
      </c>
      <c r="K67">
        <v>22</v>
      </c>
      <c r="L67">
        <v>33</v>
      </c>
      <c r="M67">
        <v>21</v>
      </c>
      <c r="O67" s="3">
        <f t="shared" si="71"/>
        <v>97</v>
      </c>
      <c r="P67" s="3">
        <f t="shared" si="72"/>
        <v>106</v>
      </c>
      <c r="Q67" s="3" t="str">
        <f t="shared" si="73"/>
        <v>HL</v>
      </c>
      <c r="R67" s="3" t="str">
        <f t="shared" si="74"/>
        <v>HL</v>
      </c>
      <c r="S67" s="3" t="str">
        <f t="shared" si="75"/>
        <v>HL</v>
      </c>
      <c r="T67" s="3" t="str">
        <f t="shared" si="76"/>
        <v>HW</v>
      </c>
      <c r="U67" s="3" t="str">
        <f t="shared" si="77"/>
        <v>O</v>
      </c>
      <c r="V67" s="3" t="str">
        <f t="shared" si="78"/>
        <v>U</v>
      </c>
      <c r="W67" s="3" t="str">
        <f t="shared" si="79"/>
        <v>O</v>
      </c>
      <c r="X67" s="3" t="str">
        <f t="shared" si="80"/>
        <v>U</v>
      </c>
      <c r="Z67">
        <v>55.5</v>
      </c>
      <c r="AA67" t="str">
        <f t="shared" si="60"/>
        <v>ATL/MIA</v>
      </c>
    </row>
    <row r="68" spans="1:27" ht="17.100000000000001" x14ac:dyDescent="0.45">
      <c r="A68" s="3">
        <v>191101</v>
      </c>
      <c r="B68" s="1">
        <v>0.4375</v>
      </c>
      <c r="C68" t="s">
        <v>124</v>
      </c>
      <c r="D68" t="s">
        <v>125</v>
      </c>
      <c r="E68">
        <v>32</v>
      </c>
      <c r="F68">
        <v>24</v>
      </c>
      <c r="G68">
        <v>30</v>
      </c>
      <c r="H68">
        <v>36</v>
      </c>
      <c r="J68">
        <v>30</v>
      </c>
      <c r="K68">
        <v>22</v>
      </c>
      <c r="L68">
        <v>23</v>
      </c>
      <c r="M68">
        <v>32</v>
      </c>
      <c r="O68" s="3">
        <f t="shared" si="71"/>
        <v>122</v>
      </c>
      <c r="P68" s="3">
        <f t="shared" si="72"/>
        <v>107</v>
      </c>
      <c r="Q68" s="3" t="str">
        <f t="shared" si="73"/>
        <v>HW</v>
      </c>
      <c r="R68" s="3" t="str">
        <f t="shared" si="74"/>
        <v>HW</v>
      </c>
      <c r="S68" s="3" t="str">
        <f t="shared" si="75"/>
        <v>HW</v>
      </c>
      <c r="T68" s="3" t="str">
        <f t="shared" si="76"/>
        <v>HW</v>
      </c>
      <c r="U68" s="3" t="str">
        <f t="shared" si="77"/>
        <v>O</v>
      </c>
      <c r="V68" s="3" t="str">
        <f t="shared" si="78"/>
        <v>U</v>
      </c>
      <c r="W68" s="3" t="str">
        <f t="shared" si="79"/>
        <v>U</v>
      </c>
      <c r="X68" s="3" t="str">
        <f t="shared" si="80"/>
        <v>O</v>
      </c>
      <c r="Z68">
        <v>57.5</v>
      </c>
      <c r="AA68" t="str">
        <f t="shared" si="60"/>
        <v>NO/DEN</v>
      </c>
    </row>
    <row r="69" spans="1:27" ht="17.100000000000001" x14ac:dyDescent="0.45">
      <c r="A69" s="3">
        <v>191101</v>
      </c>
      <c r="B69" s="1">
        <v>0.47916666666666669</v>
      </c>
      <c r="C69" t="s">
        <v>126</v>
      </c>
      <c r="D69" t="s">
        <v>127</v>
      </c>
      <c r="E69">
        <v>23</v>
      </c>
      <c r="F69">
        <v>27</v>
      </c>
      <c r="G69">
        <v>30</v>
      </c>
      <c r="H69">
        <v>23</v>
      </c>
      <c r="J69">
        <v>24</v>
      </c>
      <c r="K69">
        <v>24</v>
      </c>
      <c r="L69">
        <v>27</v>
      </c>
      <c r="M69">
        <v>22</v>
      </c>
      <c r="O69" s="3">
        <f t="shared" si="71"/>
        <v>103</v>
      </c>
      <c r="P69" s="3">
        <f t="shared" si="72"/>
        <v>97</v>
      </c>
      <c r="Q69" s="3" t="str">
        <f t="shared" si="73"/>
        <v>HL</v>
      </c>
      <c r="R69" s="3" t="str">
        <f t="shared" si="74"/>
        <v>HW</v>
      </c>
      <c r="S69" s="3" t="str">
        <f t="shared" si="75"/>
        <v>HW</v>
      </c>
      <c r="T69" s="3" t="str">
        <f t="shared" si="76"/>
        <v>HW</v>
      </c>
      <c r="U69" s="3" t="str">
        <f t="shared" si="77"/>
        <v>U</v>
      </c>
      <c r="V69" s="3" t="str">
        <f t="shared" si="78"/>
        <v>U</v>
      </c>
      <c r="W69" s="3" t="str">
        <f t="shared" si="79"/>
        <v>O</v>
      </c>
      <c r="X69" s="3" t="str">
        <f t="shared" si="80"/>
        <v>U</v>
      </c>
      <c r="Z69">
        <v>56.5</v>
      </c>
      <c r="AA69" t="str">
        <f t="shared" si="60"/>
        <v>LAC/SAS</v>
      </c>
    </row>
    <row r="70" spans="1:27" ht="17.100000000000001" x14ac:dyDescent="0.45">
      <c r="A70" s="3">
        <v>191102</v>
      </c>
      <c r="B70" s="1">
        <v>0.33333333333333331</v>
      </c>
      <c r="C70" t="s">
        <v>128</v>
      </c>
      <c r="D70" t="s">
        <v>129</v>
      </c>
      <c r="E70">
        <v>19</v>
      </c>
      <c r="F70">
        <v>23</v>
      </c>
      <c r="G70">
        <v>26</v>
      </c>
      <c r="H70">
        <v>34</v>
      </c>
      <c r="J70">
        <v>26</v>
      </c>
      <c r="K70">
        <v>11</v>
      </c>
      <c r="L70">
        <v>24</v>
      </c>
      <c r="M70">
        <v>34</v>
      </c>
      <c r="O70" s="3">
        <f t="shared" si="71"/>
        <v>102</v>
      </c>
      <c r="P70" s="3">
        <f t="shared" si="72"/>
        <v>95</v>
      </c>
      <c r="Q70" s="3" t="str">
        <f t="shared" si="73"/>
        <v>HL</v>
      </c>
      <c r="R70" s="3" t="str">
        <f t="shared" si="74"/>
        <v>HW</v>
      </c>
      <c r="S70" s="3" t="str">
        <f t="shared" si="75"/>
        <v>HW</v>
      </c>
      <c r="T70" s="3" t="str">
        <f t="shared" si="76"/>
        <v>TT</v>
      </c>
      <c r="U70" s="3" t="str">
        <f t="shared" si="77"/>
        <v>U</v>
      </c>
      <c r="V70" s="3" t="str">
        <f t="shared" si="78"/>
        <v>U</v>
      </c>
      <c r="W70" s="3" t="str">
        <f t="shared" si="79"/>
        <v>U</v>
      </c>
      <c r="X70" s="3" t="str">
        <f t="shared" si="80"/>
        <v>O</v>
      </c>
      <c r="Z70">
        <v>52</v>
      </c>
      <c r="AA70" t="str">
        <f t="shared" si="60"/>
        <v>IND/CLE</v>
      </c>
    </row>
    <row r="71" spans="1:27" ht="17.100000000000001" x14ac:dyDescent="0.45">
      <c r="A71" s="3">
        <v>191102</v>
      </c>
      <c r="B71" s="1">
        <v>0.33333333333333331</v>
      </c>
      <c r="C71" t="s">
        <v>30</v>
      </c>
      <c r="D71" t="s">
        <v>52</v>
      </c>
      <c r="E71">
        <v>24</v>
      </c>
      <c r="F71">
        <v>37</v>
      </c>
      <c r="G71">
        <v>34</v>
      </c>
      <c r="H71">
        <v>28</v>
      </c>
      <c r="J71">
        <v>33</v>
      </c>
      <c r="K71">
        <v>26</v>
      </c>
      <c r="L71">
        <v>24</v>
      </c>
      <c r="M71">
        <v>33</v>
      </c>
      <c r="O71" s="3">
        <f t="shared" si="71"/>
        <v>123</v>
      </c>
      <c r="P71" s="3">
        <f t="shared" si="72"/>
        <v>116</v>
      </c>
      <c r="Q71" s="3" t="str">
        <f t="shared" si="73"/>
        <v>HL</v>
      </c>
      <c r="R71" s="3" t="str">
        <f t="shared" si="74"/>
        <v>HW</v>
      </c>
      <c r="S71" s="3" t="str">
        <f t="shared" si="75"/>
        <v>HW</v>
      </c>
      <c r="T71" s="3" t="str">
        <f t="shared" si="76"/>
        <v>HL</v>
      </c>
      <c r="U71" s="3" t="str">
        <f t="shared" si="77"/>
        <v>U</v>
      </c>
      <c r="V71" s="3" t="str">
        <f t="shared" si="78"/>
        <v>O</v>
      </c>
      <c r="W71" s="3" t="str">
        <f t="shared" si="79"/>
        <v>U</v>
      </c>
      <c r="X71" s="3" t="str">
        <f t="shared" si="80"/>
        <v>U</v>
      </c>
      <c r="Z71">
        <v>62.5</v>
      </c>
      <c r="AA71" t="str">
        <f t="shared" si="60"/>
        <v>BKN/HOU</v>
      </c>
    </row>
    <row r="72" spans="1:27" ht="17.100000000000001" x14ac:dyDescent="0.45">
      <c r="A72" s="3">
        <v>191102</v>
      </c>
      <c r="B72" s="1">
        <v>0.33333333333333331</v>
      </c>
      <c r="C72" t="s">
        <v>130</v>
      </c>
      <c r="D72" t="s">
        <v>131</v>
      </c>
      <c r="E72">
        <v>27</v>
      </c>
      <c r="F72">
        <v>14</v>
      </c>
      <c r="G72">
        <v>30</v>
      </c>
      <c r="H72">
        <v>20</v>
      </c>
      <c r="J72">
        <v>31</v>
      </c>
      <c r="K72">
        <v>31</v>
      </c>
      <c r="L72">
        <v>26</v>
      </c>
      <c r="M72">
        <v>35</v>
      </c>
      <c r="O72" s="3">
        <f t="shared" si="71"/>
        <v>91</v>
      </c>
      <c r="P72" s="3">
        <f t="shared" si="72"/>
        <v>123</v>
      </c>
      <c r="Q72" s="3" t="str">
        <f t="shared" si="73"/>
        <v>HL</v>
      </c>
      <c r="R72" s="3" t="str">
        <f t="shared" si="74"/>
        <v>HL</v>
      </c>
      <c r="S72" s="3" t="str">
        <f t="shared" si="75"/>
        <v>HW</v>
      </c>
      <c r="T72" s="3" t="str">
        <f t="shared" si="76"/>
        <v>HL</v>
      </c>
      <c r="U72" s="3" t="str">
        <f t="shared" si="77"/>
        <v>O</v>
      </c>
      <c r="V72" s="3" t="str">
        <f t="shared" si="78"/>
        <v>U</v>
      </c>
      <c r="W72" s="3" t="str">
        <f t="shared" si="79"/>
        <v>O</v>
      </c>
      <c r="X72" s="3" t="str">
        <f t="shared" si="80"/>
        <v>O</v>
      </c>
      <c r="Z72">
        <v>52</v>
      </c>
      <c r="AA72" t="str">
        <f t="shared" si="60"/>
        <v>ORL/MIL</v>
      </c>
    </row>
    <row r="73" spans="1:27" ht="17.100000000000001" x14ac:dyDescent="0.45">
      <c r="A73" s="3">
        <v>191102</v>
      </c>
      <c r="B73" s="1">
        <v>0.35416666666666669</v>
      </c>
      <c r="C73" t="s">
        <v>132</v>
      </c>
      <c r="D73" t="s">
        <v>133</v>
      </c>
      <c r="E73">
        <v>22</v>
      </c>
      <c r="F73">
        <v>27</v>
      </c>
      <c r="G73">
        <v>26</v>
      </c>
      <c r="H73">
        <v>29</v>
      </c>
      <c r="J73">
        <v>23</v>
      </c>
      <c r="K73">
        <v>27</v>
      </c>
      <c r="L73">
        <v>24</v>
      </c>
      <c r="M73">
        <v>28</v>
      </c>
      <c r="O73" s="3">
        <f t="shared" si="71"/>
        <v>104</v>
      </c>
      <c r="P73" s="3">
        <f t="shared" si="72"/>
        <v>102</v>
      </c>
      <c r="Q73" s="3" t="str">
        <f t="shared" si="73"/>
        <v>HL</v>
      </c>
      <c r="R73" s="3" t="str">
        <f t="shared" si="74"/>
        <v>TT</v>
      </c>
      <c r="S73" s="3" t="str">
        <f t="shared" si="75"/>
        <v>HW</v>
      </c>
      <c r="T73" s="3" t="str">
        <f t="shared" si="76"/>
        <v>HW</v>
      </c>
      <c r="U73" s="3" t="str">
        <f t="shared" si="77"/>
        <v>U</v>
      </c>
      <c r="V73" s="3" t="str">
        <f t="shared" si="78"/>
        <v>T</v>
      </c>
      <c r="W73" s="3" t="str">
        <f t="shared" si="79"/>
        <v>U</v>
      </c>
      <c r="X73" s="3" t="str">
        <f t="shared" si="80"/>
        <v>O</v>
      </c>
      <c r="Z73">
        <v>54</v>
      </c>
      <c r="AA73" t="str">
        <f t="shared" si="60"/>
        <v>BOS/NYK</v>
      </c>
    </row>
    <row r="74" spans="1:27" ht="17.100000000000001" x14ac:dyDescent="0.45">
      <c r="A74" s="3">
        <v>191102</v>
      </c>
      <c r="B74" s="1">
        <v>0.375</v>
      </c>
      <c r="C74" t="s">
        <v>134</v>
      </c>
      <c r="D74" t="s">
        <v>135</v>
      </c>
      <c r="E74">
        <v>30</v>
      </c>
      <c r="F74">
        <v>27</v>
      </c>
      <c r="G74">
        <v>29</v>
      </c>
      <c r="H74">
        <v>26</v>
      </c>
      <c r="J74">
        <v>23</v>
      </c>
      <c r="K74">
        <v>29</v>
      </c>
      <c r="L74">
        <v>28</v>
      </c>
      <c r="M74">
        <v>26</v>
      </c>
      <c r="O74" s="3">
        <f t="shared" si="71"/>
        <v>112</v>
      </c>
      <c r="P74" s="3">
        <f t="shared" si="72"/>
        <v>106</v>
      </c>
      <c r="Q74" s="3" t="str">
        <f t="shared" si="73"/>
        <v>HW</v>
      </c>
      <c r="R74" s="3" t="str">
        <f t="shared" si="74"/>
        <v>HL</v>
      </c>
      <c r="S74" s="3" t="str">
        <f t="shared" si="75"/>
        <v>HW</v>
      </c>
      <c r="T74" s="3" t="str">
        <f t="shared" si="76"/>
        <v>TT</v>
      </c>
      <c r="U74" s="3" t="str">
        <f t="shared" si="77"/>
        <v>U</v>
      </c>
      <c r="V74" s="3" t="str">
        <f t="shared" si="78"/>
        <v>O</v>
      </c>
      <c r="W74" s="3" t="str">
        <f t="shared" si="79"/>
        <v>O</v>
      </c>
      <c r="X74" s="3" t="str">
        <f t="shared" si="80"/>
        <v>U</v>
      </c>
      <c r="Z74">
        <v>55.5</v>
      </c>
      <c r="AA74" t="str">
        <f t="shared" si="60"/>
        <v>CHI/DET</v>
      </c>
    </row>
    <row r="75" spans="1:27" ht="17.100000000000001" x14ac:dyDescent="0.45">
      <c r="A75" s="3">
        <v>191102</v>
      </c>
      <c r="B75" s="1">
        <v>0.4375</v>
      </c>
      <c r="C75" t="s">
        <v>136</v>
      </c>
      <c r="D75" t="s">
        <v>137</v>
      </c>
      <c r="E75">
        <v>25</v>
      </c>
      <c r="F75">
        <v>33</v>
      </c>
      <c r="G75">
        <v>27</v>
      </c>
      <c r="H75">
        <v>18</v>
      </c>
      <c r="I75">
        <v>7</v>
      </c>
      <c r="J75">
        <v>20</v>
      </c>
      <c r="K75">
        <v>28</v>
      </c>
      <c r="L75">
        <v>28</v>
      </c>
      <c r="M75">
        <v>27</v>
      </c>
      <c r="N75" s="2">
        <v>16</v>
      </c>
      <c r="O75" s="3">
        <f t="shared" si="71"/>
        <v>110</v>
      </c>
      <c r="P75" s="3">
        <f t="shared" si="72"/>
        <v>119</v>
      </c>
      <c r="Q75" s="3" t="str">
        <f t="shared" si="73"/>
        <v>HW</v>
      </c>
      <c r="R75" s="3" t="str">
        <f t="shared" si="74"/>
        <v>HW</v>
      </c>
      <c r="S75" s="3" t="str">
        <f t="shared" si="75"/>
        <v>HL</v>
      </c>
      <c r="T75" s="3" t="str">
        <f t="shared" si="76"/>
        <v>HL</v>
      </c>
      <c r="U75" s="3" t="str">
        <f t="shared" si="77"/>
        <v>U</v>
      </c>
      <c r="V75" s="3" t="str">
        <f t="shared" si="78"/>
        <v>O</v>
      </c>
      <c r="W75" s="3" t="str">
        <f t="shared" si="79"/>
        <v>U</v>
      </c>
      <c r="X75" s="3" t="str">
        <f t="shared" si="80"/>
        <v>U</v>
      </c>
      <c r="Z75">
        <v>56</v>
      </c>
      <c r="AA75" t="str">
        <f t="shared" si="60"/>
        <v>DAL/LAL</v>
      </c>
    </row>
    <row r="76" spans="1:27" ht="17.100000000000001" x14ac:dyDescent="0.45">
      <c r="A76" s="3">
        <v>191102</v>
      </c>
      <c r="B76" s="1">
        <v>0.45833333333333331</v>
      </c>
      <c r="C76" t="s">
        <v>138</v>
      </c>
      <c r="D76" t="s">
        <v>139</v>
      </c>
      <c r="E76">
        <v>28</v>
      </c>
      <c r="F76">
        <v>23</v>
      </c>
      <c r="G76">
        <v>30</v>
      </c>
      <c r="H76">
        <v>21</v>
      </c>
      <c r="J76">
        <v>18</v>
      </c>
      <c r="K76">
        <v>30</v>
      </c>
      <c r="L76">
        <v>32</v>
      </c>
      <c r="M76">
        <v>21</v>
      </c>
      <c r="O76" s="3">
        <f t="shared" si="71"/>
        <v>102</v>
      </c>
      <c r="P76" s="3">
        <f t="shared" si="72"/>
        <v>101</v>
      </c>
      <c r="Q76" s="3" t="str">
        <f t="shared" si="73"/>
        <v>HW</v>
      </c>
      <c r="R76" s="3" t="str">
        <f t="shared" si="74"/>
        <v>HL</v>
      </c>
      <c r="S76" s="3" t="str">
        <f t="shared" si="75"/>
        <v>HL</v>
      </c>
      <c r="T76" s="3" t="str">
        <f t="shared" si="76"/>
        <v>TT</v>
      </c>
      <c r="U76" s="3" t="str">
        <f t="shared" si="77"/>
        <v>U</v>
      </c>
      <c r="V76" s="3" t="str">
        <f t="shared" si="78"/>
        <v>O</v>
      </c>
      <c r="W76" s="3" t="str">
        <f t="shared" si="79"/>
        <v>O</v>
      </c>
      <c r="X76" s="3" t="str">
        <f t="shared" si="80"/>
        <v>U</v>
      </c>
      <c r="Z76">
        <v>52</v>
      </c>
      <c r="AA76" t="str">
        <f t="shared" si="60"/>
        <v>SAC/UTA</v>
      </c>
    </row>
    <row r="77" spans="1:27" ht="17.100000000000001" x14ac:dyDescent="0.45">
      <c r="A77" s="3">
        <v>191102</v>
      </c>
      <c r="B77" s="1">
        <v>0.47916666666666669</v>
      </c>
      <c r="C77" t="s">
        <v>140</v>
      </c>
      <c r="D77" t="s">
        <v>127</v>
      </c>
      <c r="E77">
        <v>28</v>
      </c>
      <c r="F77">
        <v>27</v>
      </c>
      <c r="G77">
        <v>31</v>
      </c>
      <c r="H77">
        <v>24</v>
      </c>
      <c r="J77">
        <v>29</v>
      </c>
      <c r="K77">
        <v>28</v>
      </c>
      <c r="L77">
        <v>40</v>
      </c>
      <c r="M77">
        <v>30</v>
      </c>
      <c r="O77" s="3">
        <f t="shared" si="71"/>
        <v>110</v>
      </c>
      <c r="P77" s="3">
        <f t="shared" si="72"/>
        <v>127</v>
      </c>
      <c r="Q77" s="3" t="str">
        <f t="shared" si="73"/>
        <v>HL</v>
      </c>
      <c r="R77" s="3" t="str">
        <f t="shared" si="74"/>
        <v>HL</v>
      </c>
      <c r="S77" s="3" t="str">
        <f t="shared" si="75"/>
        <v>HL</v>
      </c>
      <c r="T77" s="3" t="str">
        <f t="shared" si="76"/>
        <v>HL</v>
      </c>
      <c r="U77" s="3" t="str">
        <f t="shared" si="77"/>
        <v>O</v>
      </c>
      <c r="V77" s="3" t="str">
        <f t="shared" si="78"/>
        <v>O</v>
      </c>
      <c r="W77" s="3" t="str">
        <f t="shared" si="79"/>
        <v>O</v>
      </c>
      <c r="X77" s="3" t="str">
        <f t="shared" si="80"/>
        <v>U</v>
      </c>
      <c r="Z77">
        <v>54.5</v>
      </c>
      <c r="AA77" t="str">
        <f t="shared" si="60"/>
        <v>GS/SAS</v>
      </c>
    </row>
    <row r="78" spans="1:27" ht="17.100000000000001" x14ac:dyDescent="0.45">
      <c r="A78" s="3">
        <v>191103</v>
      </c>
      <c r="B78" s="1">
        <v>0.25</v>
      </c>
      <c r="C78" t="s">
        <v>141</v>
      </c>
      <c r="D78" t="s">
        <v>124</v>
      </c>
      <c r="E78">
        <v>33</v>
      </c>
      <c r="F78">
        <v>32</v>
      </c>
      <c r="G78">
        <v>29</v>
      </c>
      <c r="H78">
        <v>21</v>
      </c>
      <c r="J78">
        <v>26</v>
      </c>
      <c r="K78">
        <v>34</v>
      </c>
      <c r="L78">
        <v>26</v>
      </c>
      <c r="M78">
        <v>18</v>
      </c>
      <c r="O78" s="3">
        <f t="shared" si="71"/>
        <v>115</v>
      </c>
      <c r="P78" s="3">
        <f t="shared" si="72"/>
        <v>104</v>
      </c>
      <c r="Q78" s="3" t="str">
        <f t="shared" si="73"/>
        <v>HW</v>
      </c>
      <c r="R78" s="3" t="str">
        <f t="shared" si="74"/>
        <v>HL</v>
      </c>
      <c r="S78" s="3" t="str">
        <f t="shared" si="75"/>
        <v>HW</v>
      </c>
      <c r="T78" s="3" t="str">
        <f t="shared" si="76"/>
        <v>HW</v>
      </c>
      <c r="U78" s="3" t="str">
        <f t="shared" si="77"/>
        <v>O</v>
      </c>
      <c r="V78" s="3" t="str">
        <f t="shared" si="78"/>
        <v>O</v>
      </c>
      <c r="W78" s="3" t="str">
        <f t="shared" si="79"/>
        <v>U</v>
      </c>
      <c r="X78" s="3" t="str">
        <f t="shared" si="80"/>
        <v>U</v>
      </c>
      <c r="Z78">
        <v>57.5</v>
      </c>
      <c r="AA78" t="str">
        <f t="shared" si="60"/>
        <v>OKC/NO</v>
      </c>
    </row>
    <row r="79" spans="1:27" ht="17.100000000000001" x14ac:dyDescent="0.45">
      <c r="A79" s="3">
        <v>191103</v>
      </c>
      <c r="B79" s="1">
        <v>0.33333333333333331</v>
      </c>
      <c r="C79" t="s">
        <v>135</v>
      </c>
      <c r="D79" t="s">
        <v>142</v>
      </c>
      <c r="E79">
        <v>33</v>
      </c>
      <c r="F79">
        <v>13</v>
      </c>
      <c r="G79">
        <v>32</v>
      </c>
      <c r="H79">
        <v>35</v>
      </c>
      <c r="J79">
        <v>26</v>
      </c>
      <c r="K79">
        <v>28</v>
      </c>
      <c r="L79">
        <v>18</v>
      </c>
      <c r="M79">
        <v>37</v>
      </c>
      <c r="O79" s="3">
        <f t="shared" si="71"/>
        <v>113</v>
      </c>
      <c r="P79" s="3">
        <f t="shared" si="72"/>
        <v>109</v>
      </c>
      <c r="Q79" s="3" t="str">
        <f t="shared" si="73"/>
        <v>HW</v>
      </c>
      <c r="R79" s="3" t="str">
        <f t="shared" si="74"/>
        <v>HL</v>
      </c>
      <c r="S79" s="3" t="str">
        <f t="shared" si="75"/>
        <v>HW</v>
      </c>
      <c r="T79" s="3" t="str">
        <f t="shared" si="76"/>
        <v>HL</v>
      </c>
      <c r="U79" s="3" t="str">
        <f t="shared" si="77"/>
        <v>O</v>
      </c>
      <c r="V79" s="3" t="str">
        <f t="shared" si="78"/>
        <v>U</v>
      </c>
      <c r="W79" s="3" t="str">
        <f t="shared" si="79"/>
        <v>U</v>
      </c>
      <c r="X79" s="3" t="str">
        <f t="shared" si="80"/>
        <v>O</v>
      </c>
      <c r="Z79">
        <v>54.5</v>
      </c>
      <c r="AA79" t="str">
        <f t="shared" si="60"/>
        <v>DET/BKN</v>
      </c>
    </row>
    <row r="80" spans="1:27" ht="17.100000000000001" x14ac:dyDescent="0.45">
      <c r="A80" s="3">
        <v>191103</v>
      </c>
      <c r="B80" s="1">
        <v>0.33333333333333331</v>
      </c>
      <c r="C80" t="s">
        <v>130</v>
      </c>
      <c r="D80" t="s">
        <v>125</v>
      </c>
      <c r="E80">
        <v>26</v>
      </c>
      <c r="F80">
        <v>19</v>
      </c>
      <c r="G80">
        <v>18</v>
      </c>
      <c r="H80">
        <v>24</v>
      </c>
      <c r="J80">
        <v>17</v>
      </c>
      <c r="K80">
        <v>23</v>
      </c>
      <c r="L80">
        <v>29</v>
      </c>
      <c r="M80">
        <v>22</v>
      </c>
      <c r="O80" s="3">
        <f t="shared" si="71"/>
        <v>87</v>
      </c>
      <c r="P80" s="3">
        <f t="shared" si="72"/>
        <v>91</v>
      </c>
      <c r="Q80" s="3" t="str">
        <f t="shared" si="73"/>
        <v>HW</v>
      </c>
      <c r="R80" s="3" t="str">
        <f t="shared" si="74"/>
        <v>HL</v>
      </c>
      <c r="S80" s="3" t="str">
        <f t="shared" si="75"/>
        <v>HL</v>
      </c>
      <c r="T80" s="3" t="str">
        <f t="shared" si="76"/>
        <v>HW</v>
      </c>
      <c r="U80" s="3" t="str">
        <f t="shared" si="77"/>
        <v>U</v>
      </c>
      <c r="V80" s="3" t="str">
        <f t="shared" si="78"/>
        <v>U</v>
      </c>
      <c r="W80" s="3" t="str">
        <f t="shared" si="79"/>
        <v>U</v>
      </c>
      <c r="X80" s="3" t="str">
        <f t="shared" si="80"/>
        <v>U</v>
      </c>
      <c r="Z80">
        <v>52.5</v>
      </c>
      <c r="AA80" t="str">
        <f t="shared" si="60"/>
        <v>ORL/DEN</v>
      </c>
    </row>
    <row r="81" spans="1:27" ht="17.100000000000001" x14ac:dyDescent="0.45">
      <c r="A81" s="3">
        <v>191103</v>
      </c>
      <c r="B81" s="1">
        <v>0.375</v>
      </c>
      <c r="C81" t="s">
        <v>131</v>
      </c>
      <c r="D81" t="s">
        <v>143</v>
      </c>
      <c r="E81">
        <v>36</v>
      </c>
      <c r="F81">
        <v>30</v>
      </c>
      <c r="G81">
        <v>29</v>
      </c>
      <c r="H81">
        <v>20</v>
      </c>
      <c r="J81">
        <v>17</v>
      </c>
      <c r="K81">
        <v>33</v>
      </c>
      <c r="L81">
        <v>40</v>
      </c>
      <c r="M81">
        <v>15</v>
      </c>
      <c r="O81" s="3">
        <f t="shared" si="71"/>
        <v>115</v>
      </c>
      <c r="P81" s="3">
        <f t="shared" si="72"/>
        <v>105</v>
      </c>
      <c r="Q81" s="3" t="str">
        <f t="shared" si="73"/>
        <v>HW</v>
      </c>
      <c r="R81" s="3" t="str">
        <f t="shared" si="74"/>
        <v>HL</v>
      </c>
      <c r="S81" s="3" t="str">
        <f t="shared" si="75"/>
        <v>HL</v>
      </c>
      <c r="T81" s="3" t="str">
        <f t="shared" si="76"/>
        <v>HW</v>
      </c>
      <c r="U81" s="3" t="str">
        <f t="shared" si="77"/>
        <v>U</v>
      </c>
      <c r="V81" s="3" t="str">
        <f t="shared" si="78"/>
        <v>O</v>
      </c>
      <c r="W81" s="3" t="str">
        <f t="shared" si="79"/>
        <v>O</v>
      </c>
      <c r="X81" s="3" t="str">
        <f t="shared" si="80"/>
        <v>U</v>
      </c>
      <c r="Z81">
        <v>58</v>
      </c>
      <c r="AA81" t="str">
        <f t="shared" si="60"/>
        <v>MIL/TOR</v>
      </c>
    </row>
    <row r="82" spans="1:27" ht="17.100000000000001" x14ac:dyDescent="0.45">
      <c r="A82" s="3">
        <v>191103</v>
      </c>
      <c r="B82" s="1">
        <v>0.375</v>
      </c>
      <c r="C82" t="s">
        <v>144</v>
      </c>
      <c r="D82" t="s">
        <v>145</v>
      </c>
      <c r="E82">
        <v>34</v>
      </c>
      <c r="F82">
        <v>22</v>
      </c>
      <c r="G82">
        <v>16</v>
      </c>
      <c r="H82">
        <v>37</v>
      </c>
      <c r="J82">
        <v>42</v>
      </c>
      <c r="K82">
        <v>28</v>
      </c>
      <c r="L82">
        <v>36</v>
      </c>
      <c r="M82">
        <v>25</v>
      </c>
      <c r="O82" s="3">
        <f t="shared" si="71"/>
        <v>109</v>
      </c>
      <c r="P82" s="3">
        <f t="shared" si="72"/>
        <v>131</v>
      </c>
      <c r="Q82" s="3" t="str">
        <f t="shared" si="73"/>
        <v>HL</v>
      </c>
      <c r="R82" s="3" t="str">
        <f t="shared" si="74"/>
        <v>HL</v>
      </c>
      <c r="S82" s="3" t="str">
        <f t="shared" si="75"/>
        <v>HL</v>
      </c>
      <c r="T82" s="3" t="str">
        <f t="shared" si="76"/>
        <v>HW</v>
      </c>
      <c r="U82" s="3" t="str">
        <f t="shared" si="77"/>
        <v>O</v>
      </c>
      <c r="V82" s="3" t="str">
        <f t="shared" si="78"/>
        <v>U</v>
      </c>
      <c r="W82" s="3" t="str">
        <f t="shared" si="79"/>
        <v>U</v>
      </c>
      <c r="X82" s="3" t="str">
        <f t="shared" si="80"/>
        <v>O</v>
      </c>
      <c r="Z82">
        <v>58.5</v>
      </c>
      <c r="AA82" t="str">
        <f t="shared" si="60"/>
        <v>WAS/MIN</v>
      </c>
    </row>
    <row r="83" spans="1:27" ht="17.100000000000001" x14ac:dyDescent="0.45">
      <c r="A83" s="3">
        <v>191103</v>
      </c>
      <c r="B83" s="1">
        <v>0.375</v>
      </c>
      <c r="C83" t="s">
        <v>146</v>
      </c>
      <c r="D83" t="s">
        <v>147</v>
      </c>
      <c r="E83">
        <v>24</v>
      </c>
      <c r="F83">
        <v>23</v>
      </c>
      <c r="G83">
        <v>22</v>
      </c>
      <c r="H83">
        <v>36</v>
      </c>
      <c r="J83">
        <v>31</v>
      </c>
      <c r="K83">
        <v>14</v>
      </c>
      <c r="L83">
        <v>37</v>
      </c>
      <c r="M83">
        <v>32</v>
      </c>
      <c r="O83" s="3">
        <f t="shared" si="71"/>
        <v>105</v>
      </c>
      <c r="P83" s="3">
        <f t="shared" si="72"/>
        <v>114</v>
      </c>
      <c r="Q83" s="3" t="str">
        <f t="shared" si="73"/>
        <v>HL</v>
      </c>
      <c r="R83" s="3" t="str">
        <f t="shared" si="74"/>
        <v>HW</v>
      </c>
      <c r="S83" s="3" t="str">
        <f t="shared" si="75"/>
        <v>HL</v>
      </c>
      <c r="T83" s="3" t="str">
        <f t="shared" si="76"/>
        <v>HW</v>
      </c>
      <c r="U83" s="3" t="str">
        <f t="shared" si="77"/>
        <v>O</v>
      </c>
      <c r="V83" s="3" t="str">
        <f t="shared" si="78"/>
        <v>U</v>
      </c>
      <c r="W83" s="3" t="str">
        <f t="shared" si="79"/>
        <v>O</v>
      </c>
      <c r="X83" s="3" t="str">
        <f t="shared" si="80"/>
        <v>O</v>
      </c>
      <c r="Z83">
        <v>54</v>
      </c>
      <c r="AA83" t="str">
        <f t="shared" si="60"/>
        <v>MEM/PHO</v>
      </c>
    </row>
    <row r="84" spans="1:27" ht="17.100000000000001" x14ac:dyDescent="0.45">
      <c r="A84" s="3">
        <v>191103</v>
      </c>
      <c r="B84" s="1">
        <v>0.39583333333333331</v>
      </c>
      <c r="C84" t="s">
        <v>140</v>
      </c>
      <c r="D84" t="s">
        <v>148</v>
      </c>
      <c r="E84">
        <v>30</v>
      </c>
      <c r="F84">
        <v>25</v>
      </c>
      <c r="G84">
        <v>16</v>
      </c>
      <c r="H84">
        <v>16</v>
      </c>
      <c r="J84">
        <v>25</v>
      </c>
      <c r="K84">
        <v>25</v>
      </c>
      <c r="L84">
        <v>18</v>
      </c>
      <c r="M84">
        <v>25</v>
      </c>
      <c r="O84" s="3">
        <f t="shared" si="71"/>
        <v>87</v>
      </c>
      <c r="P84" s="3">
        <f t="shared" si="72"/>
        <v>93</v>
      </c>
      <c r="Q84" s="3" t="str">
        <f t="shared" si="73"/>
        <v>HW</v>
      </c>
      <c r="R84" s="3" t="str">
        <f t="shared" si="74"/>
        <v>TT</v>
      </c>
      <c r="S84" s="3" t="str">
        <f t="shared" si="75"/>
        <v>HL</v>
      </c>
      <c r="T84" s="3" t="str">
        <f t="shared" si="76"/>
        <v>HL</v>
      </c>
      <c r="U84" s="3" t="str">
        <f t="shared" si="77"/>
        <v>U</v>
      </c>
      <c r="V84" s="3" t="str">
        <f t="shared" si="78"/>
        <v>U</v>
      </c>
      <c r="W84" s="3" t="str">
        <f t="shared" si="79"/>
        <v>U</v>
      </c>
      <c r="X84" s="3" t="str">
        <f t="shared" si="80"/>
        <v>U</v>
      </c>
      <c r="Z84">
        <v>56.5</v>
      </c>
      <c r="AA84" t="str">
        <f t="shared" si="60"/>
        <v>GS/CHA</v>
      </c>
    </row>
    <row r="85" spans="1:27" ht="17.100000000000001" x14ac:dyDescent="0.45">
      <c r="A85" s="3">
        <v>191103</v>
      </c>
      <c r="B85" s="1">
        <v>0.45833333333333331</v>
      </c>
      <c r="C85" t="s">
        <v>149</v>
      </c>
      <c r="D85" t="s">
        <v>150</v>
      </c>
      <c r="E85">
        <v>32</v>
      </c>
      <c r="F85">
        <v>36</v>
      </c>
      <c r="G85">
        <v>34</v>
      </c>
      <c r="H85">
        <v>26</v>
      </c>
      <c r="J85">
        <v>27</v>
      </c>
      <c r="K85">
        <v>30</v>
      </c>
      <c r="L85">
        <v>35</v>
      </c>
      <c r="M85">
        <v>37</v>
      </c>
      <c r="O85" s="3">
        <f t="shared" si="71"/>
        <v>128</v>
      </c>
      <c r="P85" s="3">
        <f t="shared" si="72"/>
        <v>129</v>
      </c>
      <c r="Q85" s="3" t="str">
        <f t="shared" si="73"/>
        <v>HW</v>
      </c>
      <c r="R85" s="3" t="str">
        <f t="shared" si="74"/>
        <v>HW</v>
      </c>
      <c r="S85" s="3" t="str">
        <f t="shared" si="75"/>
        <v>HL</v>
      </c>
      <c r="T85" s="3" t="str">
        <f t="shared" si="76"/>
        <v>HL</v>
      </c>
      <c r="U85" s="3" t="str">
        <f t="shared" si="77"/>
        <v>O</v>
      </c>
      <c r="V85" s="3" t="str">
        <f t="shared" si="78"/>
        <v>O</v>
      </c>
      <c r="W85" s="3" t="str">
        <f t="shared" si="79"/>
        <v>O</v>
      </c>
      <c r="X85" s="3" t="str">
        <f t="shared" si="80"/>
        <v>O</v>
      </c>
      <c r="Z85">
        <v>57.5</v>
      </c>
      <c r="AA85" t="str">
        <f t="shared" si="60"/>
        <v>POR/PHI</v>
      </c>
    </row>
    <row r="86" spans="1:27" ht="17.100000000000001" x14ac:dyDescent="0.45">
      <c r="A86" s="3">
        <v>191104</v>
      </c>
      <c r="B86" s="1">
        <v>0.29166666666666669</v>
      </c>
      <c r="C86" t="s">
        <v>128</v>
      </c>
      <c r="D86" t="s">
        <v>134</v>
      </c>
      <c r="E86">
        <v>24</v>
      </c>
      <c r="F86">
        <v>31</v>
      </c>
      <c r="G86">
        <v>31</v>
      </c>
      <c r="H86">
        <v>22</v>
      </c>
      <c r="J86">
        <v>18</v>
      </c>
      <c r="K86">
        <v>24</v>
      </c>
      <c r="L86">
        <v>32</v>
      </c>
      <c r="M86">
        <v>21</v>
      </c>
      <c r="O86" s="3">
        <f t="shared" si="71"/>
        <v>108</v>
      </c>
      <c r="P86" s="3">
        <f t="shared" si="72"/>
        <v>95</v>
      </c>
      <c r="Q86" s="3" t="str">
        <f t="shared" si="73"/>
        <v>HW</v>
      </c>
      <c r="R86" s="3" t="str">
        <f t="shared" si="74"/>
        <v>HW</v>
      </c>
      <c r="S86" s="3" t="str">
        <f t="shared" si="75"/>
        <v>HL</v>
      </c>
      <c r="T86" s="3" t="str">
        <f t="shared" si="76"/>
        <v>HW</v>
      </c>
      <c r="U86" s="3" t="str">
        <f t="shared" si="77"/>
        <v>U</v>
      </c>
      <c r="V86" s="3" t="str">
        <f t="shared" si="78"/>
        <v>O</v>
      </c>
      <c r="W86" s="3" t="str">
        <f t="shared" si="79"/>
        <v>O</v>
      </c>
      <c r="X86" s="3" t="str">
        <f t="shared" si="80"/>
        <v>U</v>
      </c>
      <c r="Z86">
        <v>52.5</v>
      </c>
      <c r="AA86" t="str">
        <f t="shared" si="60"/>
        <v>IND/CHI</v>
      </c>
    </row>
    <row r="87" spans="1:27" ht="17.100000000000001" x14ac:dyDescent="0.45">
      <c r="A87" s="3">
        <v>191104</v>
      </c>
      <c r="B87" s="1">
        <v>0.33333333333333331</v>
      </c>
      <c r="C87" t="s">
        <v>123</v>
      </c>
      <c r="D87" t="s">
        <v>151</v>
      </c>
      <c r="E87">
        <v>46</v>
      </c>
      <c r="F87">
        <v>25</v>
      </c>
      <c r="G87">
        <v>28</v>
      </c>
      <c r="H87">
        <v>30</v>
      </c>
      <c r="J87">
        <v>14</v>
      </c>
      <c r="K87">
        <v>32</v>
      </c>
      <c r="L87">
        <v>25</v>
      </c>
      <c r="M87">
        <v>29</v>
      </c>
      <c r="O87" s="3">
        <f t="shared" si="71"/>
        <v>129</v>
      </c>
      <c r="P87" s="3">
        <f t="shared" si="72"/>
        <v>100</v>
      </c>
      <c r="Q87" s="3" t="str">
        <f t="shared" si="73"/>
        <v>HW</v>
      </c>
      <c r="R87" s="3" t="str">
        <f t="shared" si="74"/>
        <v>HL</v>
      </c>
      <c r="S87" s="3" t="str">
        <f t="shared" si="75"/>
        <v>HW</v>
      </c>
      <c r="T87" s="3" t="str">
        <f t="shared" si="76"/>
        <v>HW</v>
      </c>
      <c r="U87" s="3" t="str">
        <f t="shared" si="77"/>
        <v>O</v>
      </c>
      <c r="V87" s="3" t="str">
        <f t="shared" si="78"/>
        <v>U</v>
      </c>
      <c r="W87" s="3" t="str">
        <f t="shared" si="79"/>
        <v>U</v>
      </c>
      <c r="X87" s="3" t="str">
        <f t="shared" si="80"/>
        <v>U</v>
      </c>
      <c r="Z87">
        <v>59.5</v>
      </c>
      <c r="AA87" t="str">
        <f t="shared" si="60"/>
        <v>MIA/HOU</v>
      </c>
    </row>
    <row r="88" spans="1:27" ht="17.100000000000001" x14ac:dyDescent="0.45">
      <c r="A88" s="3">
        <v>191104</v>
      </c>
      <c r="B88" s="1">
        <v>0.33333333333333331</v>
      </c>
      <c r="C88" t="s">
        <v>133</v>
      </c>
      <c r="D88" t="s">
        <v>138</v>
      </c>
      <c r="E88">
        <v>23</v>
      </c>
      <c r="F88">
        <v>18</v>
      </c>
      <c r="G88">
        <v>23</v>
      </c>
      <c r="H88">
        <v>28</v>
      </c>
      <c r="J88">
        <v>32</v>
      </c>
      <c r="K88">
        <v>29</v>
      </c>
      <c r="L88">
        <v>29</v>
      </c>
      <c r="M88">
        <v>23</v>
      </c>
      <c r="O88" s="3">
        <f t="shared" si="71"/>
        <v>92</v>
      </c>
      <c r="P88" s="3">
        <f t="shared" si="72"/>
        <v>113</v>
      </c>
      <c r="Q88" s="3" t="str">
        <f t="shared" si="73"/>
        <v>HL</v>
      </c>
      <c r="R88" s="3" t="str">
        <f t="shared" si="74"/>
        <v>HL</v>
      </c>
      <c r="S88" s="3" t="str">
        <f t="shared" si="75"/>
        <v>HL</v>
      </c>
      <c r="T88" s="3" t="str">
        <f t="shared" si="76"/>
        <v>HW</v>
      </c>
      <c r="U88" s="3" t="str">
        <f t="shared" si="77"/>
        <v>O</v>
      </c>
      <c r="V88" s="3" t="str">
        <f t="shared" si="78"/>
        <v>U</v>
      </c>
      <c r="W88" s="3" t="str">
        <f t="shared" si="79"/>
        <v>U</v>
      </c>
      <c r="X88" s="3" t="str">
        <f t="shared" si="80"/>
        <v>U</v>
      </c>
      <c r="Z88">
        <v>54</v>
      </c>
      <c r="AA88" t="str">
        <f t="shared" si="60"/>
        <v>NYK/SAC</v>
      </c>
    </row>
    <row r="89" spans="1:27" ht="17.100000000000001" x14ac:dyDescent="0.45">
      <c r="A89" s="3">
        <v>191104</v>
      </c>
      <c r="B89" s="1">
        <v>0.375</v>
      </c>
      <c r="C89" t="s">
        <v>127</v>
      </c>
      <c r="D89" t="s">
        <v>137</v>
      </c>
      <c r="E89">
        <v>25</v>
      </c>
      <c r="F89">
        <v>18</v>
      </c>
      <c r="G89">
        <v>29</v>
      </c>
      <c r="H89">
        <v>24</v>
      </c>
      <c r="J89">
        <v>26</v>
      </c>
      <c r="K89">
        <v>30</v>
      </c>
      <c r="L89">
        <v>21</v>
      </c>
      <c r="M89">
        <v>26</v>
      </c>
      <c r="O89" s="3">
        <f t="shared" si="71"/>
        <v>96</v>
      </c>
      <c r="P89" s="3">
        <f t="shared" si="72"/>
        <v>103</v>
      </c>
      <c r="Q89" s="3" t="str">
        <f t="shared" si="73"/>
        <v>HL</v>
      </c>
      <c r="R89" s="3" t="str">
        <f t="shared" si="74"/>
        <v>HL</v>
      </c>
      <c r="S89" s="3" t="str">
        <f t="shared" si="75"/>
        <v>HW</v>
      </c>
      <c r="T89" s="3" t="str">
        <f t="shared" si="76"/>
        <v>HL</v>
      </c>
      <c r="U89" s="3" t="str">
        <f t="shared" si="77"/>
        <v>U</v>
      </c>
      <c r="V89" s="3" t="str">
        <f t="shared" si="78"/>
        <v>U</v>
      </c>
      <c r="W89" s="3" t="str">
        <f t="shared" si="79"/>
        <v>U</v>
      </c>
      <c r="X89" s="3" t="str">
        <f t="shared" si="80"/>
        <v>U</v>
      </c>
      <c r="Z89">
        <v>55.5</v>
      </c>
      <c r="AA89" t="str">
        <f t="shared" si="60"/>
        <v>SAS/LAL</v>
      </c>
    </row>
    <row r="90" spans="1:27" ht="17.100000000000001" x14ac:dyDescent="0.45">
      <c r="A90" s="3">
        <v>191104</v>
      </c>
      <c r="B90" s="1">
        <v>0.39583333333333331</v>
      </c>
      <c r="C90" t="s">
        <v>129</v>
      </c>
      <c r="D90" t="s">
        <v>136</v>
      </c>
      <c r="E90">
        <v>28</v>
      </c>
      <c r="F90">
        <v>25</v>
      </c>
      <c r="G90">
        <v>33</v>
      </c>
      <c r="H90">
        <v>25</v>
      </c>
      <c r="J90">
        <v>31</v>
      </c>
      <c r="K90">
        <v>27</v>
      </c>
      <c r="L90">
        <v>32</v>
      </c>
      <c r="M90">
        <v>41</v>
      </c>
      <c r="O90" s="3">
        <f t="shared" si="71"/>
        <v>111</v>
      </c>
      <c r="P90" s="3">
        <f t="shared" si="72"/>
        <v>131</v>
      </c>
      <c r="Q90" s="3" t="str">
        <f t="shared" si="73"/>
        <v>HL</v>
      </c>
      <c r="R90" s="3" t="str">
        <f t="shared" si="74"/>
        <v>HL</v>
      </c>
      <c r="S90" s="3" t="str">
        <f t="shared" si="75"/>
        <v>HW</v>
      </c>
      <c r="T90" s="3" t="str">
        <f t="shared" si="76"/>
        <v>HL</v>
      </c>
      <c r="U90" s="3" t="str">
        <f t="shared" si="77"/>
        <v>O</v>
      </c>
      <c r="V90" s="3" t="str">
        <f t="shared" si="78"/>
        <v>U</v>
      </c>
      <c r="W90" s="3" t="str">
        <f t="shared" si="79"/>
        <v>O</v>
      </c>
      <c r="X90" s="3" t="str">
        <f t="shared" si="80"/>
        <v>O</v>
      </c>
      <c r="Z90">
        <v>55.5</v>
      </c>
      <c r="AA90" t="str">
        <f t="shared" si="60"/>
        <v>CLE/DAL</v>
      </c>
    </row>
    <row r="91" spans="1:27" ht="17.100000000000001" x14ac:dyDescent="0.45">
      <c r="A91" s="3">
        <v>191104</v>
      </c>
      <c r="B91" s="1">
        <v>0.45833333333333331</v>
      </c>
      <c r="C91" t="s">
        <v>126</v>
      </c>
      <c r="D91" t="s">
        <v>139</v>
      </c>
      <c r="E91">
        <v>16</v>
      </c>
      <c r="F91">
        <v>23</v>
      </c>
      <c r="G91">
        <v>26</v>
      </c>
      <c r="H91">
        <v>40</v>
      </c>
      <c r="J91">
        <v>20</v>
      </c>
      <c r="K91">
        <v>21</v>
      </c>
      <c r="L91">
        <v>28</v>
      </c>
      <c r="M91">
        <v>25</v>
      </c>
      <c r="O91" s="3">
        <f t="shared" si="71"/>
        <v>105</v>
      </c>
      <c r="P91" s="3">
        <f t="shared" si="72"/>
        <v>94</v>
      </c>
      <c r="Q91" s="3" t="str">
        <f t="shared" si="73"/>
        <v>HL</v>
      </c>
      <c r="R91" s="3" t="str">
        <f t="shared" si="74"/>
        <v>HW</v>
      </c>
      <c r="S91" s="3" t="str">
        <f t="shared" si="75"/>
        <v>HL</v>
      </c>
      <c r="T91" s="3" t="str">
        <f t="shared" si="76"/>
        <v>HW</v>
      </c>
      <c r="U91" s="3" t="str">
        <f t="shared" si="77"/>
        <v>U</v>
      </c>
      <c r="V91" s="3" t="str">
        <f t="shared" si="78"/>
        <v>U</v>
      </c>
      <c r="W91" s="3" t="str">
        <f t="shared" si="79"/>
        <v>O</v>
      </c>
      <c r="X91" s="3" t="str">
        <f t="shared" si="80"/>
        <v>O</v>
      </c>
      <c r="Z91">
        <v>51.5</v>
      </c>
      <c r="AA91" t="str">
        <f t="shared" si="60"/>
        <v>LAC/UTA</v>
      </c>
    </row>
    <row r="92" spans="1:27" ht="17.100000000000001" x14ac:dyDescent="0.45">
      <c r="A92" s="3">
        <v>191105</v>
      </c>
      <c r="B92" s="1">
        <v>0.375</v>
      </c>
      <c r="C92" t="s">
        <v>144</v>
      </c>
      <c r="D92" t="s">
        <v>135</v>
      </c>
      <c r="E92">
        <v>31</v>
      </c>
      <c r="F92">
        <v>32</v>
      </c>
      <c r="G92">
        <v>30</v>
      </c>
      <c r="H92">
        <v>22</v>
      </c>
      <c r="J92">
        <v>30</v>
      </c>
      <c r="K92">
        <v>31</v>
      </c>
      <c r="L92">
        <v>17</v>
      </c>
      <c r="M92">
        <v>21</v>
      </c>
      <c r="O92" s="3">
        <f t="shared" si="71"/>
        <v>115</v>
      </c>
      <c r="P92" s="3">
        <f t="shared" si="72"/>
        <v>99</v>
      </c>
      <c r="Q92" s="3" t="str">
        <f t="shared" si="73"/>
        <v>HW</v>
      </c>
      <c r="R92" s="3" t="str">
        <f t="shared" si="74"/>
        <v>HW</v>
      </c>
      <c r="S92" s="3" t="str">
        <f t="shared" si="75"/>
        <v>HW</v>
      </c>
      <c r="T92" s="3" t="str">
        <f t="shared" si="76"/>
        <v>HW</v>
      </c>
      <c r="U92" s="3" t="str">
        <f t="shared" si="77"/>
        <v>O</v>
      </c>
      <c r="V92" s="3" t="str">
        <f t="shared" si="78"/>
        <v>O</v>
      </c>
      <c r="W92" s="3" t="str">
        <f t="shared" si="79"/>
        <v>U</v>
      </c>
      <c r="X92" s="3" t="str">
        <f t="shared" si="80"/>
        <v>U</v>
      </c>
      <c r="Z92">
        <v>58</v>
      </c>
      <c r="AA92" t="str">
        <f t="shared" si="60"/>
        <v>WAS/DET</v>
      </c>
    </row>
    <row r="93" spans="1:27" ht="17.100000000000001" x14ac:dyDescent="0.45">
      <c r="A93" s="3">
        <v>191105</v>
      </c>
      <c r="B93" s="1">
        <v>0.39583333333333331</v>
      </c>
      <c r="C93" t="s">
        <v>142</v>
      </c>
      <c r="D93" t="s">
        <v>124</v>
      </c>
      <c r="E93">
        <v>33</v>
      </c>
      <c r="F93">
        <v>34</v>
      </c>
      <c r="G93">
        <v>37</v>
      </c>
      <c r="H93">
        <v>31</v>
      </c>
      <c r="J93">
        <v>27</v>
      </c>
      <c r="K93">
        <v>23</v>
      </c>
      <c r="L93">
        <v>48</v>
      </c>
      <c r="M93">
        <v>27</v>
      </c>
      <c r="O93" s="3">
        <f t="shared" si="71"/>
        <v>135</v>
      </c>
      <c r="P93" s="3">
        <f t="shared" si="72"/>
        <v>125</v>
      </c>
      <c r="Q93" s="3" t="str">
        <f t="shared" si="73"/>
        <v>HW</v>
      </c>
      <c r="R93" s="3" t="str">
        <f t="shared" si="74"/>
        <v>HW</v>
      </c>
      <c r="S93" s="3" t="str">
        <f t="shared" si="75"/>
        <v>HL</v>
      </c>
      <c r="T93" s="3" t="str">
        <f t="shared" si="76"/>
        <v>HW</v>
      </c>
      <c r="U93" s="3" t="str">
        <f t="shared" si="77"/>
        <v>U</v>
      </c>
      <c r="V93" s="3" t="str">
        <f t="shared" si="78"/>
        <v>U</v>
      </c>
      <c r="W93" s="3" t="str">
        <f t="shared" si="79"/>
        <v>O</v>
      </c>
      <c r="X93" s="3" t="str">
        <f t="shared" si="80"/>
        <v>U</v>
      </c>
      <c r="Z93">
        <v>61.5</v>
      </c>
      <c r="AA93" t="str">
        <f t="shared" si="60"/>
        <v>BKN/NO</v>
      </c>
    </row>
    <row r="94" spans="1:27" ht="17.100000000000001" x14ac:dyDescent="0.45">
      <c r="A94" s="3">
        <v>191105</v>
      </c>
      <c r="B94" s="1">
        <v>0.41666666666666669</v>
      </c>
      <c r="C94" t="s">
        <v>145</v>
      </c>
      <c r="D94" t="s">
        <v>131</v>
      </c>
      <c r="E94">
        <v>27</v>
      </c>
      <c r="F94">
        <v>30</v>
      </c>
      <c r="G94">
        <v>25</v>
      </c>
      <c r="H94">
        <v>24</v>
      </c>
      <c r="J94">
        <v>31</v>
      </c>
      <c r="K94">
        <v>33</v>
      </c>
      <c r="L94">
        <v>38</v>
      </c>
      <c r="M94">
        <v>32</v>
      </c>
      <c r="O94" s="3">
        <f t="shared" si="71"/>
        <v>106</v>
      </c>
      <c r="P94" s="3">
        <f t="shared" si="72"/>
        <v>134</v>
      </c>
      <c r="Q94" s="3" t="str">
        <f t="shared" si="73"/>
        <v>HL</v>
      </c>
      <c r="R94" s="3" t="str">
        <f t="shared" si="74"/>
        <v>HL</v>
      </c>
      <c r="S94" s="3" t="str">
        <f t="shared" si="75"/>
        <v>HL</v>
      </c>
      <c r="T94" s="3" t="str">
        <f t="shared" si="76"/>
        <v>HL</v>
      </c>
      <c r="U94" s="3" t="str">
        <f t="shared" si="77"/>
        <v>O</v>
      </c>
      <c r="V94" s="3" t="str">
        <f t="shared" si="78"/>
        <v>O</v>
      </c>
      <c r="W94" s="3" t="str">
        <f t="shared" si="79"/>
        <v>O</v>
      </c>
      <c r="X94" s="3" t="str">
        <f t="shared" si="80"/>
        <v>O</v>
      </c>
      <c r="Z94">
        <v>55.5</v>
      </c>
      <c r="AA94" t="str">
        <f t="shared" si="60"/>
        <v>MIN/MIL</v>
      </c>
    </row>
    <row r="95" spans="1:27" ht="17.100000000000001" x14ac:dyDescent="0.45">
      <c r="A95" s="3">
        <v>191105</v>
      </c>
      <c r="B95" s="1">
        <v>0.41666666666666669</v>
      </c>
      <c r="C95" t="s">
        <v>146</v>
      </c>
      <c r="D95" t="s">
        <v>151</v>
      </c>
      <c r="E95">
        <v>28</v>
      </c>
      <c r="F95">
        <v>32</v>
      </c>
      <c r="G95">
        <v>16</v>
      </c>
      <c r="H95">
        <v>24</v>
      </c>
      <c r="J95">
        <v>33</v>
      </c>
      <c r="K95">
        <v>29</v>
      </c>
      <c r="L95">
        <v>22</v>
      </c>
      <c r="M95">
        <v>23</v>
      </c>
      <c r="O95" s="3">
        <f t="shared" si="71"/>
        <v>100</v>
      </c>
      <c r="P95" s="3">
        <f t="shared" si="72"/>
        <v>107</v>
      </c>
      <c r="Q95" s="3" t="str">
        <f t="shared" si="73"/>
        <v>HL</v>
      </c>
      <c r="R95" s="3" t="str">
        <f t="shared" si="74"/>
        <v>HW</v>
      </c>
      <c r="S95" s="3" t="str">
        <f t="shared" si="75"/>
        <v>HL</v>
      </c>
      <c r="T95" s="3" t="str">
        <f t="shared" si="76"/>
        <v>HW</v>
      </c>
      <c r="U95" s="3" t="str">
        <f t="shared" si="77"/>
        <v>O</v>
      </c>
      <c r="V95" s="3" t="str">
        <f t="shared" si="78"/>
        <v>O</v>
      </c>
      <c r="W95" s="3" t="str">
        <f t="shared" si="79"/>
        <v>U</v>
      </c>
      <c r="X95" s="3" t="str">
        <f t="shared" si="80"/>
        <v>U</v>
      </c>
      <c r="Z95">
        <v>59</v>
      </c>
      <c r="AA95" t="str">
        <f t="shared" si="60"/>
        <v>MEM/HOU</v>
      </c>
    </row>
    <row r="96" spans="1:27" ht="17.100000000000001" x14ac:dyDescent="0.45">
      <c r="A96" s="3">
        <v>191105</v>
      </c>
      <c r="B96" s="1">
        <v>0.45833333333333331</v>
      </c>
      <c r="C96" t="s">
        <v>147</v>
      </c>
      <c r="D96" t="s">
        <v>150</v>
      </c>
      <c r="E96">
        <v>29</v>
      </c>
      <c r="F96">
        <v>26</v>
      </c>
      <c r="G96">
        <v>26</v>
      </c>
      <c r="H96">
        <v>33</v>
      </c>
      <c r="J96">
        <v>31</v>
      </c>
      <c r="K96">
        <v>30</v>
      </c>
      <c r="L96">
        <v>21</v>
      </c>
      <c r="M96">
        <v>27</v>
      </c>
      <c r="O96" s="3">
        <f t="shared" si="71"/>
        <v>114</v>
      </c>
      <c r="P96" s="3">
        <f t="shared" si="72"/>
        <v>109</v>
      </c>
      <c r="Q96" s="3" t="str">
        <f t="shared" si="73"/>
        <v>HL</v>
      </c>
      <c r="R96" s="3" t="str">
        <f t="shared" si="74"/>
        <v>HL</v>
      </c>
      <c r="S96" s="3" t="str">
        <f t="shared" si="75"/>
        <v>HW</v>
      </c>
      <c r="T96" s="3" t="str">
        <f t="shared" si="76"/>
        <v>HW</v>
      </c>
      <c r="U96" s="3" t="str">
        <f t="shared" si="77"/>
        <v>O</v>
      </c>
      <c r="V96" s="3" t="str">
        <f t="shared" si="78"/>
        <v>U</v>
      </c>
      <c r="W96" s="3" t="str">
        <f t="shared" si="79"/>
        <v>U</v>
      </c>
      <c r="X96" s="3" t="str">
        <f t="shared" si="80"/>
        <v>O</v>
      </c>
      <c r="Z96">
        <v>57.5</v>
      </c>
      <c r="AA96" t="str">
        <f t="shared" si="60"/>
        <v>PHO/PHI</v>
      </c>
    </row>
    <row r="97" spans="1:27" s="3" customFormat="1" ht="17.100000000000001" x14ac:dyDescent="0.45">
      <c r="A97" s="3">
        <v>191105</v>
      </c>
      <c r="B97" s="1">
        <v>0.52083333333333337</v>
      </c>
      <c r="C97" s="3" t="s">
        <v>140</v>
      </c>
      <c r="D97" s="3" t="s">
        <v>149</v>
      </c>
      <c r="E97" s="3">
        <v>34</v>
      </c>
      <c r="F97" s="3">
        <v>26</v>
      </c>
      <c r="G97" s="3">
        <v>27</v>
      </c>
      <c r="H97" s="3">
        <v>40</v>
      </c>
      <c r="J97" s="3">
        <v>32</v>
      </c>
      <c r="K97" s="3">
        <v>31</v>
      </c>
      <c r="L97" s="3">
        <v>20</v>
      </c>
      <c r="M97" s="3">
        <v>35</v>
      </c>
      <c r="O97" s="3">
        <f t="shared" si="71"/>
        <v>127</v>
      </c>
      <c r="P97" s="3">
        <f t="shared" si="72"/>
        <v>118</v>
      </c>
      <c r="Q97" s="3" t="str">
        <f t="shared" si="73"/>
        <v>HW</v>
      </c>
      <c r="R97" s="3" t="str">
        <f t="shared" si="74"/>
        <v>HL</v>
      </c>
      <c r="S97" s="3" t="str">
        <f t="shared" si="75"/>
        <v>HW</v>
      </c>
      <c r="T97" s="3" t="str">
        <f t="shared" si="76"/>
        <v>HW</v>
      </c>
      <c r="U97" s="3" t="str">
        <f t="shared" si="77"/>
        <v>O</v>
      </c>
      <c r="V97" s="3" t="str">
        <f t="shared" si="78"/>
        <v>O</v>
      </c>
      <c r="W97" s="3" t="str">
        <f t="shared" si="79"/>
        <v>U</v>
      </c>
      <c r="X97" s="3" t="str">
        <f t="shared" si="80"/>
        <v>O</v>
      </c>
      <c r="Z97" s="3">
        <v>53.5</v>
      </c>
      <c r="AA97" s="3" t="str">
        <f t="shared" si="60"/>
        <v>GS/POR</v>
      </c>
    </row>
    <row r="98" spans="1:27" ht="17.100000000000001" x14ac:dyDescent="0.45">
      <c r="A98" s="3">
        <v>191106</v>
      </c>
      <c r="B98" s="1">
        <v>0.375</v>
      </c>
      <c r="C98" t="s">
        <v>129</v>
      </c>
      <c r="D98" t="s">
        <v>132</v>
      </c>
      <c r="E98">
        <v>24</v>
      </c>
      <c r="F98">
        <v>28</v>
      </c>
      <c r="G98">
        <v>31</v>
      </c>
      <c r="H98">
        <v>30</v>
      </c>
      <c r="J98">
        <v>32</v>
      </c>
      <c r="K98">
        <v>29</v>
      </c>
      <c r="L98">
        <v>28</v>
      </c>
      <c r="M98">
        <v>30</v>
      </c>
      <c r="O98" s="3">
        <f t="shared" ref="O98:O116" si="81">SUM(E98:I98)</f>
        <v>113</v>
      </c>
      <c r="P98" s="3">
        <f t="shared" ref="P98:P116" si="82">SUM(J98:N98)</f>
        <v>119</v>
      </c>
      <c r="Q98" s="3" t="str">
        <f t="shared" ref="Q98:Q116" si="83">IF(E98=J98,"TT",IF(E98&gt;J98,"HW","HL"))</f>
        <v>HL</v>
      </c>
      <c r="R98" s="3" t="str">
        <f t="shared" ref="R98:R116" si="84">IF(F98=K98,"TT",IF(F98&gt;K98,"HW","HL"))</f>
        <v>HL</v>
      </c>
      <c r="S98" s="3" t="str">
        <f t="shared" ref="S98:S116" si="85">IF(G98=L98,"TT",IF(G98&gt;L98,"HW","HL"))</f>
        <v>HW</v>
      </c>
      <c r="T98" s="3" t="str">
        <f t="shared" ref="T98:T116" si="86">IF(H98=M98,"TT",IF(H98&gt;M98,"HW","HL"))</f>
        <v>TT</v>
      </c>
      <c r="U98" s="3" t="str">
        <f t="shared" ref="U98:U116" si="87">IF(SUM(E98,J98)=$Z98,"T",IF(SUM(E98,J98)&gt;$Z98,"O","U"))</f>
        <v>O</v>
      </c>
      <c r="V98" s="3" t="str">
        <f t="shared" ref="V98:V116" si="88">IF(SUM(F98,K98)=$Z98,"T",IF(SUM(F98,K98)&gt;$Z98,"O","U"))</f>
        <v>O</v>
      </c>
      <c r="W98" s="3" t="str">
        <f t="shared" ref="W98:W116" si="89">IF(SUM(G98,L98)=$Z98,"T",IF(SUM(G98,L98)&gt;$Z98,"O","U"))</f>
        <v>O</v>
      </c>
      <c r="X98" s="3" t="str">
        <f t="shared" ref="X98:X116" si="90">IF(SUM(H98,M98)=$Z98,"T",IF(SUM(H98,M98)&gt;$Z98,"O","U"))</f>
        <v>O</v>
      </c>
      <c r="Z98">
        <v>52</v>
      </c>
      <c r="AA98" t="str">
        <f t="shared" si="60"/>
        <v>CLE/BOS</v>
      </c>
    </row>
    <row r="99" spans="1:27" ht="17.100000000000001" x14ac:dyDescent="0.45">
      <c r="A99" s="3">
        <v>191106</v>
      </c>
      <c r="B99" s="1">
        <v>0.375</v>
      </c>
      <c r="C99" t="s">
        <v>148</v>
      </c>
      <c r="D99" t="s">
        <v>128</v>
      </c>
      <c r="E99">
        <v>20</v>
      </c>
      <c r="F99">
        <v>37</v>
      </c>
      <c r="G99">
        <v>21</v>
      </c>
      <c r="H99">
        <v>35</v>
      </c>
      <c r="I99">
        <v>9</v>
      </c>
      <c r="J99">
        <v>35</v>
      </c>
      <c r="K99">
        <v>29</v>
      </c>
      <c r="L99">
        <v>28</v>
      </c>
      <c r="M99">
        <v>21</v>
      </c>
      <c r="N99" s="2">
        <v>7</v>
      </c>
      <c r="O99" s="3">
        <f t="shared" si="81"/>
        <v>122</v>
      </c>
      <c r="P99" s="3">
        <f t="shared" si="82"/>
        <v>120</v>
      </c>
      <c r="Q99" s="3" t="str">
        <f t="shared" si="83"/>
        <v>HL</v>
      </c>
      <c r="R99" s="3" t="str">
        <f t="shared" si="84"/>
        <v>HW</v>
      </c>
      <c r="S99" s="3" t="str">
        <f t="shared" si="85"/>
        <v>HL</v>
      </c>
      <c r="T99" s="3" t="str">
        <f t="shared" si="86"/>
        <v>HW</v>
      </c>
      <c r="U99" s="3" t="str">
        <f t="shared" si="87"/>
        <v>O</v>
      </c>
      <c r="V99" s="3" t="str">
        <f t="shared" si="88"/>
        <v>O</v>
      </c>
      <c r="W99" s="3" t="str">
        <f t="shared" si="89"/>
        <v>U</v>
      </c>
      <c r="X99" s="3" t="str">
        <f t="shared" si="90"/>
        <v>O</v>
      </c>
      <c r="Z99">
        <v>54.5</v>
      </c>
      <c r="AA99" t="str">
        <f t="shared" si="60"/>
        <v>CHA/IND</v>
      </c>
    </row>
    <row r="100" spans="1:27" ht="17.100000000000001" x14ac:dyDescent="0.45">
      <c r="A100" s="3">
        <v>191106</v>
      </c>
      <c r="B100" s="1">
        <v>0.39583333333333331</v>
      </c>
      <c r="C100" t="s">
        <v>122</v>
      </c>
      <c r="D100" t="s">
        <v>127</v>
      </c>
      <c r="E100">
        <v>22</v>
      </c>
      <c r="F100">
        <v>22</v>
      </c>
      <c r="G100">
        <v>26</v>
      </c>
      <c r="H100">
        <v>38</v>
      </c>
      <c r="J100">
        <v>21</v>
      </c>
      <c r="K100">
        <v>24</v>
      </c>
      <c r="L100">
        <v>33</v>
      </c>
      <c r="M100">
        <v>22</v>
      </c>
      <c r="O100" s="3">
        <f t="shared" si="81"/>
        <v>108</v>
      </c>
      <c r="P100" s="3">
        <f t="shared" si="82"/>
        <v>100</v>
      </c>
      <c r="Q100" s="3" t="str">
        <f t="shared" si="83"/>
        <v>HW</v>
      </c>
      <c r="R100" s="3" t="str">
        <f t="shared" si="84"/>
        <v>HL</v>
      </c>
      <c r="S100" s="3" t="str">
        <f t="shared" si="85"/>
        <v>HL</v>
      </c>
      <c r="T100" s="3" t="str">
        <f t="shared" si="86"/>
        <v>HW</v>
      </c>
      <c r="U100" s="3" t="str">
        <f t="shared" si="87"/>
        <v>U</v>
      </c>
      <c r="V100" s="3" t="str">
        <f t="shared" si="88"/>
        <v>U</v>
      </c>
      <c r="W100" s="3" t="str">
        <f t="shared" si="89"/>
        <v>O</v>
      </c>
      <c r="X100" s="3" t="str">
        <f t="shared" si="90"/>
        <v>O</v>
      </c>
      <c r="Z100">
        <v>53.5</v>
      </c>
      <c r="AA100" t="str">
        <f t="shared" si="60"/>
        <v>ATL/SAS</v>
      </c>
    </row>
    <row r="101" spans="1:27" ht="17.100000000000001" x14ac:dyDescent="0.45">
      <c r="A101" s="3">
        <v>191106</v>
      </c>
      <c r="B101" s="1">
        <v>0.41666666666666669</v>
      </c>
      <c r="C101" t="s">
        <v>134</v>
      </c>
      <c r="D101" t="s">
        <v>137</v>
      </c>
      <c r="E101">
        <v>29</v>
      </c>
      <c r="F101">
        <v>36</v>
      </c>
      <c r="G101">
        <v>28</v>
      </c>
      <c r="H101">
        <v>19</v>
      </c>
      <c r="J101">
        <v>24</v>
      </c>
      <c r="K101">
        <v>24</v>
      </c>
      <c r="L101">
        <v>32</v>
      </c>
      <c r="M101">
        <v>38</v>
      </c>
      <c r="O101" s="3">
        <f t="shared" si="81"/>
        <v>112</v>
      </c>
      <c r="P101" s="3">
        <f t="shared" si="82"/>
        <v>118</v>
      </c>
      <c r="Q101" s="3" t="str">
        <f t="shared" si="83"/>
        <v>HW</v>
      </c>
      <c r="R101" s="3" t="str">
        <f t="shared" si="84"/>
        <v>HW</v>
      </c>
      <c r="S101" s="3" t="str">
        <f t="shared" si="85"/>
        <v>HL</v>
      </c>
      <c r="T101" s="3" t="str">
        <f t="shared" si="86"/>
        <v>HL</v>
      </c>
      <c r="U101" s="3" t="str">
        <f t="shared" si="87"/>
        <v>U</v>
      </c>
      <c r="V101" s="3" t="str">
        <f t="shared" si="88"/>
        <v>O</v>
      </c>
      <c r="W101" s="3" t="str">
        <f t="shared" si="89"/>
        <v>O</v>
      </c>
      <c r="X101" s="3" t="str">
        <f t="shared" si="90"/>
        <v>O</v>
      </c>
      <c r="Z101">
        <v>55.5</v>
      </c>
      <c r="AA101" t="str">
        <f t="shared" si="60"/>
        <v>CHI/LAL</v>
      </c>
    </row>
    <row r="102" spans="1:27" ht="17.100000000000001" x14ac:dyDescent="0.45">
      <c r="A102" s="3">
        <v>191106</v>
      </c>
      <c r="B102" s="1">
        <v>0.41666666666666669</v>
      </c>
      <c r="C102" t="s">
        <v>49</v>
      </c>
      <c r="D102" t="s">
        <v>130</v>
      </c>
      <c r="E102">
        <v>31</v>
      </c>
      <c r="F102">
        <v>27</v>
      </c>
      <c r="G102">
        <v>23</v>
      </c>
      <c r="H102">
        <v>21</v>
      </c>
      <c r="J102">
        <v>26</v>
      </c>
      <c r="K102">
        <v>27</v>
      </c>
      <c r="L102">
        <v>26</v>
      </c>
      <c r="M102">
        <v>15</v>
      </c>
      <c r="O102" s="3">
        <f t="shared" si="81"/>
        <v>102</v>
      </c>
      <c r="P102" s="3">
        <f t="shared" si="82"/>
        <v>94</v>
      </c>
      <c r="Q102" s="3" t="str">
        <f t="shared" si="83"/>
        <v>HW</v>
      </c>
      <c r="R102" s="3" t="str">
        <f t="shared" si="84"/>
        <v>TT</v>
      </c>
      <c r="S102" s="3" t="str">
        <f t="shared" si="85"/>
        <v>HL</v>
      </c>
      <c r="T102" s="3" t="str">
        <f t="shared" si="86"/>
        <v>HW</v>
      </c>
      <c r="U102" s="3" t="str">
        <f t="shared" si="87"/>
        <v>O</v>
      </c>
      <c r="V102" s="3" t="str">
        <f t="shared" si="88"/>
        <v>O</v>
      </c>
      <c r="W102" s="3" t="str">
        <f t="shared" si="89"/>
        <v>U</v>
      </c>
      <c r="X102" s="3" t="str">
        <f t="shared" si="90"/>
        <v>U</v>
      </c>
      <c r="Z102">
        <v>52</v>
      </c>
      <c r="AA102" t="str">
        <f t="shared" si="60"/>
        <v>OKC/ORL</v>
      </c>
    </row>
    <row r="103" spans="1:27" ht="17.100000000000001" x14ac:dyDescent="0.45">
      <c r="A103" s="3">
        <v>191106</v>
      </c>
      <c r="B103" s="1">
        <v>0.45833333333333331</v>
      </c>
      <c r="C103" t="s">
        <v>125</v>
      </c>
      <c r="D103" t="s">
        <v>123</v>
      </c>
      <c r="E103">
        <v>29</v>
      </c>
      <c r="F103">
        <v>29</v>
      </c>
      <c r="G103">
        <v>31</v>
      </c>
      <c r="H103">
        <v>20</v>
      </c>
      <c r="J103">
        <v>28</v>
      </c>
      <c r="K103">
        <v>20</v>
      </c>
      <c r="L103">
        <v>21</v>
      </c>
      <c r="M103">
        <v>20</v>
      </c>
      <c r="O103" s="3">
        <f t="shared" si="81"/>
        <v>109</v>
      </c>
      <c r="P103" s="3">
        <f t="shared" si="82"/>
        <v>89</v>
      </c>
      <c r="Q103" s="3" t="str">
        <f t="shared" si="83"/>
        <v>HW</v>
      </c>
      <c r="R103" s="3" t="str">
        <f t="shared" si="84"/>
        <v>HW</v>
      </c>
      <c r="S103" s="3" t="str">
        <f t="shared" si="85"/>
        <v>HW</v>
      </c>
      <c r="T103" s="3" t="str">
        <f t="shared" si="86"/>
        <v>TT</v>
      </c>
      <c r="U103" s="3" t="str">
        <f t="shared" si="87"/>
        <v>O</v>
      </c>
      <c r="V103" s="3" t="str">
        <f t="shared" si="88"/>
        <v>U</v>
      </c>
      <c r="W103" s="3" t="str">
        <f t="shared" si="89"/>
        <v>U</v>
      </c>
      <c r="X103" s="3" t="str">
        <f t="shared" si="90"/>
        <v>U</v>
      </c>
      <c r="Z103">
        <v>54</v>
      </c>
      <c r="AA103" s="3" t="str">
        <f t="shared" si="60"/>
        <v>DEN/MIA</v>
      </c>
    </row>
    <row r="104" spans="1:27" ht="17.100000000000001" x14ac:dyDescent="0.45">
      <c r="A104" s="3">
        <v>191107</v>
      </c>
      <c r="B104" s="1">
        <v>0.375</v>
      </c>
      <c r="C104" t="s">
        <v>135</v>
      </c>
      <c r="D104" t="s">
        <v>133</v>
      </c>
      <c r="E104">
        <v>33</v>
      </c>
      <c r="F104">
        <v>31</v>
      </c>
      <c r="G104">
        <v>32</v>
      </c>
      <c r="H104">
        <v>26</v>
      </c>
      <c r="J104">
        <v>25</v>
      </c>
      <c r="K104">
        <v>34</v>
      </c>
      <c r="L104">
        <v>26</v>
      </c>
      <c r="M104">
        <v>17</v>
      </c>
      <c r="O104" s="3">
        <f t="shared" si="81"/>
        <v>122</v>
      </c>
      <c r="P104" s="3">
        <f t="shared" si="82"/>
        <v>102</v>
      </c>
      <c r="Q104" s="3" t="str">
        <f t="shared" si="83"/>
        <v>HW</v>
      </c>
      <c r="R104" s="3" t="str">
        <f t="shared" si="84"/>
        <v>HL</v>
      </c>
      <c r="S104" s="3" t="str">
        <f t="shared" si="85"/>
        <v>HW</v>
      </c>
      <c r="T104" s="3" t="str">
        <f t="shared" si="86"/>
        <v>HW</v>
      </c>
      <c r="U104" s="3" t="str">
        <f t="shared" si="87"/>
        <v>O</v>
      </c>
      <c r="V104" s="3" t="str">
        <f t="shared" si="88"/>
        <v>O</v>
      </c>
      <c r="W104" s="3" t="str">
        <f t="shared" si="89"/>
        <v>O</v>
      </c>
      <c r="X104" s="3" t="str">
        <f t="shared" si="90"/>
        <v>U</v>
      </c>
      <c r="Z104">
        <v>53</v>
      </c>
      <c r="AA104" s="3" t="str">
        <f t="shared" si="60"/>
        <v>DET/NYK</v>
      </c>
    </row>
    <row r="105" spans="1:27" ht="17.100000000000001" x14ac:dyDescent="0.45">
      <c r="A105" s="3">
        <v>191107</v>
      </c>
      <c r="B105" s="1">
        <v>0.375</v>
      </c>
      <c r="C105" t="s">
        <v>128</v>
      </c>
      <c r="D105" t="s">
        <v>34</v>
      </c>
      <c r="E105">
        <v>26</v>
      </c>
      <c r="F105">
        <v>44</v>
      </c>
      <c r="G105">
        <v>24</v>
      </c>
      <c r="H105">
        <v>27</v>
      </c>
      <c r="J105">
        <v>26</v>
      </c>
      <c r="K105">
        <v>36</v>
      </c>
      <c r="L105">
        <v>18</v>
      </c>
      <c r="M105">
        <v>26</v>
      </c>
      <c r="O105" s="3">
        <f t="shared" si="81"/>
        <v>121</v>
      </c>
      <c r="P105" s="3">
        <f t="shared" si="82"/>
        <v>106</v>
      </c>
      <c r="Q105" s="3" t="str">
        <f t="shared" si="83"/>
        <v>TT</v>
      </c>
      <c r="R105" s="3" t="str">
        <f t="shared" si="84"/>
        <v>HW</v>
      </c>
      <c r="S105" s="3" t="str">
        <f t="shared" si="85"/>
        <v>HW</v>
      </c>
      <c r="T105" s="3" t="str">
        <f t="shared" si="86"/>
        <v>HW</v>
      </c>
      <c r="U105" s="3" t="str">
        <f t="shared" si="87"/>
        <v>U</v>
      </c>
      <c r="V105" s="3" t="str">
        <f t="shared" si="88"/>
        <v>O</v>
      </c>
      <c r="W105" s="3" t="str">
        <f t="shared" si="89"/>
        <v>U</v>
      </c>
      <c r="X105" s="3" t="str">
        <f t="shared" si="90"/>
        <v>U</v>
      </c>
      <c r="Z105">
        <v>58</v>
      </c>
      <c r="AA105" s="3" t="str">
        <f t="shared" si="60"/>
        <v>IND/WAS</v>
      </c>
    </row>
    <row r="106" spans="1:27" ht="17.100000000000001" x14ac:dyDescent="0.45">
      <c r="A106" s="3">
        <v>191107</v>
      </c>
      <c r="B106" s="1">
        <v>0.39583333333333331</v>
      </c>
      <c r="C106" t="s">
        <v>122</v>
      </c>
      <c r="D106" t="s">
        <v>134</v>
      </c>
      <c r="E106">
        <v>19</v>
      </c>
      <c r="F106">
        <v>22</v>
      </c>
      <c r="G106">
        <v>24</v>
      </c>
      <c r="H106">
        <v>28</v>
      </c>
      <c r="J106">
        <v>33</v>
      </c>
      <c r="K106">
        <v>23</v>
      </c>
      <c r="L106">
        <v>35</v>
      </c>
      <c r="M106">
        <v>22</v>
      </c>
      <c r="O106" s="3">
        <f t="shared" si="81"/>
        <v>93</v>
      </c>
      <c r="P106" s="3">
        <f t="shared" si="82"/>
        <v>113</v>
      </c>
      <c r="Q106" s="3" t="str">
        <f t="shared" si="83"/>
        <v>HL</v>
      </c>
      <c r="R106" s="3" t="str">
        <f t="shared" si="84"/>
        <v>HL</v>
      </c>
      <c r="S106" s="3" t="str">
        <f t="shared" si="85"/>
        <v>HL</v>
      </c>
      <c r="T106" s="3" t="str">
        <f t="shared" si="86"/>
        <v>HW</v>
      </c>
      <c r="U106" s="3" t="str">
        <f t="shared" si="87"/>
        <v>U</v>
      </c>
      <c r="V106" s="3" t="str">
        <f t="shared" si="88"/>
        <v>U</v>
      </c>
      <c r="W106" s="3" t="str">
        <f t="shared" si="89"/>
        <v>O</v>
      </c>
      <c r="X106" s="3" t="str">
        <f t="shared" si="90"/>
        <v>U</v>
      </c>
      <c r="Z106">
        <v>53.5</v>
      </c>
      <c r="AA106" s="3" t="str">
        <f t="shared" ref="AA106:AA146" si="91">C106&amp;"/"&amp;D106</f>
        <v>ATL/CHI</v>
      </c>
    </row>
    <row r="107" spans="1:27" ht="17.100000000000001" x14ac:dyDescent="0.45">
      <c r="A107" s="3">
        <v>191107</v>
      </c>
      <c r="B107" s="1">
        <v>0.39583333333333331</v>
      </c>
      <c r="C107" t="s">
        <v>151</v>
      </c>
      <c r="D107" t="s">
        <v>140</v>
      </c>
      <c r="E107">
        <v>30</v>
      </c>
      <c r="F107">
        <v>33</v>
      </c>
      <c r="G107">
        <v>35</v>
      </c>
      <c r="H107">
        <v>31</v>
      </c>
      <c r="J107">
        <v>29</v>
      </c>
      <c r="K107">
        <v>23</v>
      </c>
      <c r="L107">
        <v>31</v>
      </c>
      <c r="M107">
        <v>29</v>
      </c>
      <c r="O107" s="3">
        <f t="shared" si="81"/>
        <v>129</v>
      </c>
      <c r="P107" s="3">
        <f t="shared" si="82"/>
        <v>112</v>
      </c>
      <c r="Q107" s="3" t="str">
        <f t="shared" si="83"/>
        <v>HW</v>
      </c>
      <c r="R107" s="3" t="str">
        <f t="shared" si="84"/>
        <v>HW</v>
      </c>
      <c r="S107" s="3" t="str">
        <f t="shared" si="85"/>
        <v>HW</v>
      </c>
      <c r="T107" s="3" t="str">
        <f t="shared" si="86"/>
        <v>HW</v>
      </c>
      <c r="U107" s="3" t="str">
        <f t="shared" si="87"/>
        <v>U</v>
      </c>
      <c r="V107" s="3" t="str">
        <f t="shared" si="88"/>
        <v>U</v>
      </c>
      <c r="W107" s="3" t="str">
        <f t="shared" si="89"/>
        <v>O</v>
      </c>
      <c r="X107" s="3" t="str">
        <f t="shared" si="90"/>
        <v>O</v>
      </c>
      <c r="Z107">
        <v>59.5</v>
      </c>
      <c r="AA107" s="3" t="str">
        <f t="shared" si="91"/>
        <v>HOU/GS</v>
      </c>
    </row>
    <row r="108" spans="1:27" ht="17.100000000000001" x14ac:dyDescent="0.45">
      <c r="A108" s="3">
        <v>191107</v>
      </c>
      <c r="B108" s="1">
        <v>0.39583333333333331</v>
      </c>
      <c r="C108" t="s">
        <v>143</v>
      </c>
      <c r="D108" t="s">
        <v>138</v>
      </c>
      <c r="E108">
        <v>36</v>
      </c>
      <c r="F108">
        <v>30</v>
      </c>
      <c r="G108">
        <v>29</v>
      </c>
      <c r="H108">
        <v>29</v>
      </c>
      <c r="J108">
        <v>23</v>
      </c>
      <c r="K108">
        <v>35</v>
      </c>
      <c r="L108">
        <v>30</v>
      </c>
      <c r="M108">
        <v>32</v>
      </c>
      <c r="O108" s="3">
        <f t="shared" si="81"/>
        <v>124</v>
      </c>
      <c r="P108" s="3">
        <f t="shared" si="82"/>
        <v>120</v>
      </c>
      <c r="Q108" s="3" t="str">
        <f t="shared" si="83"/>
        <v>HW</v>
      </c>
      <c r="R108" s="3" t="str">
        <f t="shared" si="84"/>
        <v>HL</v>
      </c>
      <c r="S108" s="3" t="str">
        <f t="shared" si="85"/>
        <v>HL</v>
      </c>
      <c r="T108" s="3" t="str">
        <f t="shared" si="86"/>
        <v>HL</v>
      </c>
      <c r="U108" s="3" t="str">
        <f t="shared" si="87"/>
        <v>O</v>
      </c>
      <c r="V108" s="3" t="str">
        <f t="shared" si="88"/>
        <v>O</v>
      </c>
      <c r="W108" s="3" t="str">
        <f t="shared" si="89"/>
        <v>O</v>
      </c>
      <c r="X108" s="3" t="str">
        <f t="shared" si="90"/>
        <v>O</v>
      </c>
      <c r="Z108">
        <v>56</v>
      </c>
      <c r="AA108" s="3" t="str">
        <f t="shared" si="91"/>
        <v>TOR/SAC</v>
      </c>
    </row>
    <row r="109" spans="1:27" ht="17.100000000000001" x14ac:dyDescent="0.45">
      <c r="A109" s="3">
        <v>191107</v>
      </c>
      <c r="B109" s="1">
        <v>0.41666666666666669</v>
      </c>
      <c r="C109" t="s">
        <v>146</v>
      </c>
      <c r="D109" t="s">
        <v>145</v>
      </c>
      <c r="E109">
        <v>37</v>
      </c>
      <c r="F109">
        <v>35</v>
      </c>
      <c r="G109">
        <v>29</v>
      </c>
      <c r="H109">
        <v>36</v>
      </c>
      <c r="J109">
        <v>26</v>
      </c>
      <c r="K109">
        <v>38</v>
      </c>
      <c r="L109">
        <v>32</v>
      </c>
      <c r="M109">
        <v>25</v>
      </c>
      <c r="O109" s="3">
        <f t="shared" si="81"/>
        <v>137</v>
      </c>
      <c r="P109" s="3">
        <f t="shared" si="82"/>
        <v>121</v>
      </c>
      <c r="Q109" s="3" t="str">
        <f t="shared" si="83"/>
        <v>HW</v>
      </c>
      <c r="R109" s="3" t="str">
        <f t="shared" si="84"/>
        <v>HL</v>
      </c>
      <c r="S109" s="3" t="str">
        <f t="shared" si="85"/>
        <v>HL</v>
      </c>
      <c r="T109" s="3" t="str">
        <f t="shared" si="86"/>
        <v>HW</v>
      </c>
      <c r="U109" s="3" t="str">
        <f t="shared" si="87"/>
        <v>O</v>
      </c>
      <c r="V109" s="3" t="str">
        <f t="shared" si="88"/>
        <v>O</v>
      </c>
      <c r="W109" s="3" t="str">
        <f t="shared" si="89"/>
        <v>O</v>
      </c>
      <c r="X109" s="3" t="str">
        <f t="shared" si="90"/>
        <v>O</v>
      </c>
      <c r="Z109">
        <v>58</v>
      </c>
      <c r="AA109" s="3" t="str">
        <f t="shared" si="91"/>
        <v>MEM/MIN</v>
      </c>
    </row>
    <row r="110" spans="1:27" ht="17.100000000000001" x14ac:dyDescent="0.45">
      <c r="A110" s="3">
        <v>191107</v>
      </c>
      <c r="B110" s="1">
        <v>0.4375</v>
      </c>
      <c r="C110" t="s">
        <v>136</v>
      </c>
      <c r="D110" t="s">
        <v>130</v>
      </c>
      <c r="E110">
        <v>25</v>
      </c>
      <c r="F110">
        <v>29</v>
      </c>
      <c r="G110">
        <v>32</v>
      </c>
      <c r="H110">
        <v>21</v>
      </c>
      <c r="J110">
        <v>28</v>
      </c>
      <c r="K110">
        <v>28</v>
      </c>
      <c r="L110">
        <v>23</v>
      </c>
      <c r="M110">
        <v>27</v>
      </c>
      <c r="O110" s="3">
        <f t="shared" si="81"/>
        <v>107</v>
      </c>
      <c r="P110" s="3">
        <f t="shared" si="82"/>
        <v>106</v>
      </c>
      <c r="Q110" s="3" t="str">
        <f t="shared" si="83"/>
        <v>HL</v>
      </c>
      <c r="R110" s="3" t="str">
        <f t="shared" si="84"/>
        <v>HW</v>
      </c>
      <c r="S110" s="3" t="str">
        <f t="shared" si="85"/>
        <v>HW</v>
      </c>
      <c r="T110" s="3" t="str">
        <f t="shared" si="86"/>
        <v>HL</v>
      </c>
      <c r="U110" s="3" t="str">
        <f t="shared" si="87"/>
        <v>U</v>
      </c>
      <c r="V110" s="3" t="str">
        <f t="shared" si="88"/>
        <v>O</v>
      </c>
      <c r="W110" s="3" t="str">
        <f t="shared" si="89"/>
        <v>O</v>
      </c>
      <c r="X110" s="3" t="str">
        <f t="shared" si="90"/>
        <v>U</v>
      </c>
      <c r="Z110">
        <v>53.5</v>
      </c>
      <c r="AA110" s="3" t="str">
        <f t="shared" si="91"/>
        <v>DAL/ORL</v>
      </c>
    </row>
    <row r="111" spans="1:27" ht="17.100000000000001" x14ac:dyDescent="0.45">
      <c r="A111" s="3">
        <v>191107</v>
      </c>
      <c r="B111" s="1">
        <v>0.45833333333333331</v>
      </c>
      <c r="C111" t="s">
        <v>139</v>
      </c>
      <c r="D111" t="s">
        <v>150</v>
      </c>
      <c r="E111">
        <v>26</v>
      </c>
      <c r="F111">
        <v>32</v>
      </c>
      <c r="G111">
        <v>26</v>
      </c>
      <c r="H111">
        <v>22</v>
      </c>
      <c r="J111">
        <v>29</v>
      </c>
      <c r="K111">
        <v>27</v>
      </c>
      <c r="L111">
        <v>17</v>
      </c>
      <c r="M111">
        <v>31</v>
      </c>
      <c r="O111" s="3">
        <f t="shared" si="81"/>
        <v>106</v>
      </c>
      <c r="P111" s="3">
        <f t="shared" si="82"/>
        <v>104</v>
      </c>
      <c r="Q111" s="3" t="str">
        <f t="shared" si="83"/>
        <v>HL</v>
      </c>
      <c r="R111" s="3" t="str">
        <f t="shared" si="84"/>
        <v>HW</v>
      </c>
      <c r="S111" s="3" t="str">
        <f t="shared" si="85"/>
        <v>HW</v>
      </c>
      <c r="T111" s="3" t="str">
        <f t="shared" si="86"/>
        <v>HL</v>
      </c>
      <c r="U111" s="3" t="str">
        <f t="shared" si="87"/>
        <v>O</v>
      </c>
      <c r="V111" s="3" t="str">
        <f t="shared" si="88"/>
        <v>O</v>
      </c>
      <c r="W111" s="3" t="str">
        <f t="shared" si="89"/>
        <v>U</v>
      </c>
      <c r="X111" s="3" t="str">
        <f t="shared" si="90"/>
        <v>U</v>
      </c>
      <c r="Z111">
        <v>54</v>
      </c>
      <c r="AA111" s="3" t="str">
        <f t="shared" si="91"/>
        <v>UTA/PHI</v>
      </c>
    </row>
    <row r="112" spans="1:27" ht="17.100000000000001" x14ac:dyDescent="0.45">
      <c r="A112" s="3">
        <v>191107</v>
      </c>
      <c r="B112" s="1">
        <v>0.5</v>
      </c>
      <c r="C112" t="s">
        <v>126</v>
      </c>
      <c r="D112" t="s">
        <v>131</v>
      </c>
      <c r="E112">
        <v>30</v>
      </c>
      <c r="F112">
        <v>29</v>
      </c>
      <c r="G112">
        <v>30</v>
      </c>
      <c r="H112">
        <v>35</v>
      </c>
      <c r="J112">
        <v>28</v>
      </c>
      <c r="K112">
        <v>42</v>
      </c>
      <c r="L112">
        <v>28</v>
      </c>
      <c r="M112">
        <v>31</v>
      </c>
      <c r="O112" s="3">
        <f t="shared" si="81"/>
        <v>124</v>
      </c>
      <c r="P112" s="3">
        <f t="shared" si="82"/>
        <v>129</v>
      </c>
      <c r="Q112" s="3" t="str">
        <f t="shared" si="83"/>
        <v>HW</v>
      </c>
      <c r="R112" s="3" t="str">
        <f t="shared" si="84"/>
        <v>HL</v>
      </c>
      <c r="S112" s="3" t="str">
        <f t="shared" si="85"/>
        <v>HW</v>
      </c>
      <c r="T112" s="3" t="str">
        <f t="shared" si="86"/>
        <v>HW</v>
      </c>
      <c r="U112" s="3" t="str">
        <f t="shared" si="87"/>
        <v>O</v>
      </c>
      <c r="V112" s="3" t="str">
        <f t="shared" si="88"/>
        <v>O</v>
      </c>
      <c r="W112" s="3" t="str">
        <f t="shared" si="89"/>
        <v>O</v>
      </c>
      <c r="X112" s="3" t="str">
        <f t="shared" si="90"/>
        <v>O</v>
      </c>
      <c r="Z112">
        <v>55.5</v>
      </c>
      <c r="AA112" s="3" t="str">
        <f t="shared" si="91"/>
        <v>LAC/MIL</v>
      </c>
    </row>
    <row r="113" spans="1:27" ht="17.100000000000001" x14ac:dyDescent="0.45">
      <c r="A113" s="3">
        <v>191108</v>
      </c>
      <c r="B113" s="1">
        <v>0.41666666666666669</v>
      </c>
      <c r="C113" t="s">
        <v>148</v>
      </c>
      <c r="D113" t="s">
        <v>132</v>
      </c>
      <c r="E113">
        <v>20</v>
      </c>
      <c r="F113">
        <v>23</v>
      </c>
      <c r="G113">
        <v>24</v>
      </c>
      <c r="H113">
        <v>20</v>
      </c>
      <c r="J113">
        <v>30</v>
      </c>
      <c r="K113">
        <v>22</v>
      </c>
      <c r="L113">
        <v>33</v>
      </c>
      <c r="M113">
        <v>23</v>
      </c>
      <c r="O113" s="3">
        <f t="shared" si="81"/>
        <v>87</v>
      </c>
      <c r="P113" s="3">
        <f t="shared" si="82"/>
        <v>108</v>
      </c>
      <c r="Q113" s="3" t="str">
        <f t="shared" si="83"/>
        <v>HL</v>
      </c>
      <c r="R113" s="3" t="str">
        <f t="shared" si="84"/>
        <v>HW</v>
      </c>
      <c r="S113" s="3" t="str">
        <f t="shared" si="85"/>
        <v>HL</v>
      </c>
      <c r="T113" s="3" t="str">
        <f t="shared" si="86"/>
        <v>HL</v>
      </c>
      <c r="U113" s="3" t="str">
        <f t="shared" si="87"/>
        <v>U</v>
      </c>
      <c r="V113" s="3" t="str">
        <f t="shared" si="88"/>
        <v>U</v>
      </c>
      <c r="W113" s="3" t="str">
        <f t="shared" si="89"/>
        <v>O</v>
      </c>
      <c r="X113" s="3" t="str">
        <f t="shared" si="90"/>
        <v>U</v>
      </c>
      <c r="Z113">
        <v>53.5</v>
      </c>
      <c r="AA113" s="3" t="str">
        <f t="shared" si="91"/>
        <v>CHA/BOS</v>
      </c>
    </row>
    <row r="114" spans="1:27" ht="17.100000000000001" x14ac:dyDescent="0.45">
      <c r="A114" s="3">
        <v>191108</v>
      </c>
      <c r="B114" s="1">
        <v>0.4375</v>
      </c>
      <c r="C114" t="s">
        <v>127</v>
      </c>
      <c r="D114" t="s">
        <v>141</v>
      </c>
      <c r="E114">
        <v>33</v>
      </c>
      <c r="F114">
        <v>23</v>
      </c>
      <c r="G114">
        <v>36</v>
      </c>
      <c r="H114">
        <v>29</v>
      </c>
      <c r="J114">
        <v>30</v>
      </c>
      <c r="K114">
        <v>27</v>
      </c>
      <c r="L114">
        <v>27</v>
      </c>
      <c r="M114">
        <v>28</v>
      </c>
      <c r="O114" s="3">
        <f t="shared" si="81"/>
        <v>121</v>
      </c>
      <c r="P114" s="3">
        <f t="shared" si="82"/>
        <v>112</v>
      </c>
      <c r="Q114" s="3" t="str">
        <f t="shared" si="83"/>
        <v>HW</v>
      </c>
      <c r="R114" s="3" t="str">
        <f t="shared" si="84"/>
        <v>HL</v>
      </c>
      <c r="S114" s="3" t="str">
        <f t="shared" si="85"/>
        <v>HW</v>
      </c>
      <c r="T114" s="3" t="str">
        <f t="shared" si="86"/>
        <v>HW</v>
      </c>
      <c r="U114" s="3" t="str">
        <f t="shared" si="87"/>
        <v>O</v>
      </c>
      <c r="V114" s="3" t="str">
        <f t="shared" si="88"/>
        <v>U</v>
      </c>
      <c r="W114" s="3" t="str">
        <f t="shared" si="89"/>
        <v>O</v>
      </c>
      <c r="X114" s="3" t="str">
        <f t="shared" si="90"/>
        <v>O</v>
      </c>
      <c r="Z114">
        <v>55</v>
      </c>
      <c r="AA114" s="3" t="str">
        <f t="shared" si="91"/>
        <v>SAS/OKC</v>
      </c>
    </row>
    <row r="115" spans="1:27" ht="17.100000000000001" x14ac:dyDescent="0.45">
      <c r="A115" s="3">
        <v>191108</v>
      </c>
      <c r="B115" s="1">
        <v>0.45833333333333331</v>
      </c>
      <c r="C115" t="s">
        <v>147</v>
      </c>
      <c r="D115" t="s">
        <v>123</v>
      </c>
      <c r="E115">
        <v>30</v>
      </c>
      <c r="F115">
        <v>27</v>
      </c>
      <c r="G115">
        <v>29</v>
      </c>
      <c r="H115">
        <v>22</v>
      </c>
      <c r="J115">
        <v>31</v>
      </c>
      <c r="K115">
        <v>33</v>
      </c>
      <c r="L115">
        <v>29</v>
      </c>
      <c r="M115">
        <v>31</v>
      </c>
      <c r="O115" s="3">
        <f t="shared" si="81"/>
        <v>108</v>
      </c>
      <c r="P115" s="3">
        <f t="shared" si="82"/>
        <v>124</v>
      </c>
      <c r="Q115" s="3" t="str">
        <f t="shared" si="83"/>
        <v>HL</v>
      </c>
      <c r="R115" s="3" t="str">
        <f t="shared" si="84"/>
        <v>HL</v>
      </c>
      <c r="S115" s="3" t="str">
        <f t="shared" si="85"/>
        <v>TT</v>
      </c>
      <c r="T115" s="3" t="str">
        <f t="shared" si="86"/>
        <v>HL</v>
      </c>
      <c r="U115" s="3" t="str">
        <f t="shared" si="87"/>
        <v>O</v>
      </c>
      <c r="V115" s="3" t="str">
        <f t="shared" si="88"/>
        <v>O</v>
      </c>
      <c r="W115" s="3" t="str">
        <f t="shared" si="89"/>
        <v>O</v>
      </c>
      <c r="X115" s="3" t="str">
        <f t="shared" si="90"/>
        <v>U</v>
      </c>
      <c r="Z115">
        <v>56</v>
      </c>
      <c r="AA115" s="3" t="str">
        <f t="shared" si="91"/>
        <v>PHO/MIA</v>
      </c>
    </row>
    <row r="116" spans="1:27" ht="17.100000000000001" x14ac:dyDescent="0.45">
      <c r="A116" s="3">
        <v>191108</v>
      </c>
      <c r="B116" s="1">
        <v>0.52083333333333337</v>
      </c>
      <c r="C116" t="s">
        <v>126</v>
      </c>
      <c r="D116" t="s">
        <v>149</v>
      </c>
      <c r="E116">
        <v>26</v>
      </c>
      <c r="F116">
        <v>21</v>
      </c>
      <c r="G116">
        <v>23</v>
      </c>
      <c r="H116">
        <v>37</v>
      </c>
      <c r="J116">
        <v>22</v>
      </c>
      <c r="K116">
        <v>18</v>
      </c>
      <c r="L116">
        <v>36</v>
      </c>
      <c r="M116">
        <v>25</v>
      </c>
      <c r="O116" s="3">
        <f t="shared" si="81"/>
        <v>107</v>
      </c>
      <c r="P116" s="3">
        <f t="shared" si="82"/>
        <v>101</v>
      </c>
      <c r="Q116" s="3" t="str">
        <f t="shared" si="83"/>
        <v>HW</v>
      </c>
      <c r="R116" s="3" t="str">
        <f t="shared" si="84"/>
        <v>HW</v>
      </c>
      <c r="S116" s="3" t="str">
        <f t="shared" si="85"/>
        <v>HL</v>
      </c>
      <c r="T116" s="3" t="str">
        <f t="shared" si="86"/>
        <v>HW</v>
      </c>
      <c r="U116" s="3" t="str">
        <f t="shared" si="87"/>
        <v>U</v>
      </c>
      <c r="V116" s="3" t="str">
        <f t="shared" si="88"/>
        <v>U</v>
      </c>
      <c r="W116" s="3" t="str">
        <f t="shared" si="89"/>
        <v>O</v>
      </c>
      <c r="X116" s="3" t="str">
        <f t="shared" si="90"/>
        <v>O</v>
      </c>
      <c r="Z116">
        <v>56.5</v>
      </c>
      <c r="AA116" s="3" t="str">
        <f t="shared" si="91"/>
        <v>LAC/POR</v>
      </c>
    </row>
    <row r="117" spans="1:27" ht="17.100000000000001" x14ac:dyDescent="0.45">
      <c r="A117" s="3">
        <v>191109</v>
      </c>
      <c r="B117" s="1">
        <v>0.375</v>
      </c>
      <c r="C117" s="3" t="s">
        <v>35</v>
      </c>
      <c r="D117" s="3" t="s">
        <v>36</v>
      </c>
      <c r="E117" s="3">
        <v>27</v>
      </c>
      <c r="F117" s="3">
        <v>30</v>
      </c>
      <c r="G117" s="3">
        <v>28</v>
      </c>
      <c r="H117" s="3">
        <v>27</v>
      </c>
      <c r="I117" s="3"/>
      <c r="J117" s="3">
        <v>35</v>
      </c>
      <c r="K117" s="3">
        <v>18</v>
      </c>
      <c r="L117" s="3">
        <v>19</v>
      </c>
      <c r="M117" s="3">
        <v>34</v>
      </c>
      <c r="N117" s="3"/>
      <c r="O117" s="3">
        <f t="shared" ref="O117:O146" si="92">SUM(E117:I117)</f>
        <v>112</v>
      </c>
      <c r="P117" s="3">
        <f t="shared" ref="P117:P146" si="93">SUM(J117:N117)</f>
        <v>106</v>
      </c>
      <c r="Q117" s="3" t="str">
        <f t="shared" ref="Q117:Q146" si="94">IF(E117=J117,"TT",IF(E117&gt;J117,"HW","HL"))</f>
        <v>HL</v>
      </c>
      <c r="R117" s="3" t="str">
        <f t="shared" ref="R117:R146" si="95">IF(F117=K117,"TT",IF(F117&gt;K117,"HW","HL"))</f>
        <v>HW</v>
      </c>
      <c r="S117" s="3" t="str">
        <f t="shared" ref="S117:S146" si="96">IF(G117=L117,"TT",IF(G117&gt;L117,"HW","HL"))</f>
        <v>HW</v>
      </c>
      <c r="T117" s="3" t="str">
        <f t="shared" ref="T117:T146" si="97">IF(H117=M117,"TT",IF(H117&gt;M117,"HW","HL"))</f>
        <v>HL</v>
      </c>
      <c r="U117" s="3" t="str">
        <f t="shared" ref="U117:U146" si="98">IF(SUM(E117,J117)=$Z117,"T",IF(SUM(E117,J117)&gt;$Z117,"O","U"))</f>
        <v>O</v>
      </c>
      <c r="V117" s="3" t="str">
        <f t="shared" ref="V117:V146" si="99">IF(SUM(F117,K117)=$Z117,"T",IF(SUM(F117,K117)&gt;$Z117,"O","U"))</f>
        <v>U</v>
      </c>
      <c r="W117" s="3" t="str">
        <f t="shared" ref="W117:W146" si="100">IF(SUM(G117,L117)=$Z117,"T",IF(SUM(G117,L117)&gt;$Z117,"O","U"))</f>
        <v>U</v>
      </c>
      <c r="X117" s="3" t="str">
        <f t="shared" ref="X117:X146" si="101">IF(SUM(H117,M117)=$Z117,"T",IF(SUM(H117,M117)&gt;$Z117,"O","U"))</f>
        <v>O</v>
      </c>
      <c r="Z117" s="3">
        <v>54.5</v>
      </c>
      <c r="AA117" t="str">
        <f t="shared" si="91"/>
        <v>IND/DET</v>
      </c>
    </row>
    <row r="118" spans="1:27" ht="17.100000000000001" x14ac:dyDescent="0.45">
      <c r="A118" s="3">
        <v>191109</v>
      </c>
      <c r="B118" s="1">
        <v>0.375</v>
      </c>
      <c r="C118" s="3" t="s">
        <v>39</v>
      </c>
      <c r="D118" s="3" t="s">
        <v>38</v>
      </c>
      <c r="E118" s="3">
        <v>27</v>
      </c>
      <c r="F118" s="3">
        <v>24</v>
      </c>
      <c r="G118" s="3">
        <v>33</v>
      </c>
      <c r="H118" s="3">
        <v>34</v>
      </c>
      <c r="I118" s="3"/>
      <c r="J118" s="3">
        <v>15</v>
      </c>
      <c r="K118" s="3">
        <v>33</v>
      </c>
      <c r="L118" s="3">
        <v>30</v>
      </c>
      <c r="M118" s="3">
        <v>8</v>
      </c>
      <c r="N118" s="3"/>
      <c r="O118" s="3">
        <f t="shared" si="92"/>
        <v>118</v>
      </c>
      <c r="P118" s="3">
        <f t="shared" si="93"/>
        <v>86</v>
      </c>
      <c r="Q118" s="3" t="str">
        <f t="shared" si="94"/>
        <v>HW</v>
      </c>
      <c r="R118" s="3" t="str">
        <f t="shared" si="95"/>
        <v>HL</v>
      </c>
      <c r="S118" s="3" t="str">
        <f t="shared" si="96"/>
        <v>HW</v>
      </c>
      <c r="T118" s="3" t="str">
        <f t="shared" si="97"/>
        <v>HW</v>
      </c>
      <c r="U118" s="3" t="str">
        <f t="shared" si="98"/>
        <v>U</v>
      </c>
      <c r="V118" s="3" t="str">
        <f t="shared" si="99"/>
        <v>O</v>
      </c>
      <c r="W118" s="3" t="str">
        <f t="shared" si="100"/>
        <v>O</v>
      </c>
      <c r="X118" s="3" t="str">
        <f t="shared" si="101"/>
        <v>U</v>
      </c>
      <c r="Z118" s="3">
        <v>52</v>
      </c>
      <c r="AA118" t="str">
        <f t="shared" si="91"/>
        <v>ORL/MEM</v>
      </c>
    </row>
    <row r="119" spans="1:27" ht="17.100000000000001" x14ac:dyDescent="0.45">
      <c r="A119" s="3">
        <v>191109</v>
      </c>
      <c r="B119" s="1">
        <v>0.375</v>
      </c>
      <c r="C119" s="3" t="s">
        <v>34</v>
      </c>
      <c r="D119" s="3" t="s">
        <v>40</v>
      </c>
      <c r="E119" s="3">
        <v>26</v>
      </c>
      <c r="F119" s="3">
        <v>26</v>
      </c>
      <c r="G119" s="3">
        <v>32</v>
      </c>
      <c r="H119" s="3">
        <v>16</v>
      </c>
      <c r="I119" s="3"/>
      <c r="J119" s="3">
        <v>30</v>
      </c>
      <c r="K119" s="3">
        <v>37</v>
      </c>
      <c r="L119" s="3">
        <v>21</v>
      </c>
      <c r="M119" s="3">
        <v>25</v>
      </c>
      <c r="N119" s="3"/>
      <c r="O119" s="3">
        <f t="shared" si="92"/>
        <v>100</v>
      </c>
      <c r="P119" s="3">
        <f t="shared" si="93"/>
        <v>113</v>
      </c>
      <c r="Q119" s="3" t="str">
        <f t="shared" si="94"/>
        <v>HL</v>
      </c>
      <c r="R119" s="3" t="str">
        <f t="shared" si="95"/>
        <v>HL</v>
      </c>
      <c r="S119" s="3" t="str">
        <f t="shared" si="96"/>
        <v>HW</v>
      </c>
      <c r="T119" s="3" t="str">
        <f t="shared" si="97"/>
        <v>HL</v>
      </c>
      <c r="U119" s="3" t="str">
        <f t="shared" si="98"/>
        <v>U</v>
      </c>
      <c r="V119" s="3" t="str">
        <f t="shared" si="99"/>
        <v>O</v>
      </c>
      <c r="W119" s="3" t="str">
        <f t="shared" si="100"/>
        <v>U</v>
      </c>
      <c r="X119" s="3" t="str">
        <f t="shared" si="101"/>
        <v>U</v>
      </c>
      <c r="Z119" s="3">
        <v>57</v>
      </c>
      <c r="AA119" t="str">
        <f t="shared" si="91"/>
        <v>WAS/CLE</v>
      </c>
    </row>
    <row r="120" spans="1:27" ht="17.100000000000001" x14ac:dyDescent="0.45">
      <c r="A120" s="3">
        <v>191109</v>
      </c>
      <c r="B120" s="1">
        <v>0.39583333333333331</v>
      </c>
      <c r="C120" s="3" t="s">
        <v>50</v>
      </c>
      <c r="D120" s="3" t="s">
        <v>44</v>
      </c>
      <c r="E120" s="3">
        <v>24</v>
      </c>
      <c r="F120" s="3">
        <v>23</v>
      </c>
      <c r="G120" s="3">
        <v>36</v>
      </c>
      <c r="H120" s="3">
        <v>26</v>
      </c>
      <c r="I120" s="3"/>
      <c r="J120" s="3">
        <v>31</v>
      </c>
      <c r="K120" s="3">
        <v>32</v>
      </c>
      <c r="L120" s="3">
        <v>28</v>
      </c>
      <c r="M120" s="3">
        <v>30</v>
      </c>
      <c r="N120" s="3"/>
      <c r="O120" s="3">
        <f t="shared" si="92"/>
        <v>109</v>
      </c>
      <c r="P120" s="3">
        <f t="shared" si="93"/>
        <v>121</v>
      </c>
      <c r="Q120" s="3" t="str">
        <f t="shared" si="94"/>
        <v>HL</v>
      </c>
      <c r="R120" s="3" t="str">
        <f t="shared" si="95"/>
        <v>HL</v>
      </c>
      <c r="S120" s="3" t="str">
        <f t="shared" si="96"/>
        <v>HW</v>
      </c>
      <c r="T120" s="3" t="str">
        <f t="shared" si="97"/>
        <v>HL</v>
      </c>
      <c r="U120" s="3" t="str">
        <f t="shared" si="98"/>
        <v>U</v>
      </c>
      <c r="V120" s="3" t="str">
        <f t="shared" si="99"/>
        <v>U</v>
      </c>
      <c r="W120" s="3" t="str">
        <f t="shared" si="100"/>
        <v>O</v>
      </c>
      <c r="X120" s="3" t="str">
        <f t="shared" si="101"/>
        <v>U</v>
      </c>
      <c r="Z120" s="3">
        <v>58</v>
      </c>
      <c r="AA120" t="str">
        <f t="shared" si="91"/>
        <v>ATL/SAC</v>
      </c>
    </row>
    <row r="121" spans="1:27" ht="17.100000000000001" x14ac:dyDescent="0.45">
      <c r="A121" s="3">
        <v>191109</v>
      </c>
      <c r="B121" s="1">
        <v>0.41666666666666669</v>
      </c>
      <c r="C121" s="3" t="s">
        <v>27</v>
      </c>
      <c r="D121" s="3" t="s">
        <v>28</v>
      </c>
      <c r="E121" s="3">
        <v>30</v>
      </c>
      <c r="F121" s="3">
        <v>23</v>
      </c>
      <c r="G121" s="3">
        <v>22</v>
      </c>
      <c r="H121" s="3">
        <v>29</v>
      </c>
      <c r="I121" s="3"/>
      <c r="J121" s="3">
        <v>30</v>
      </c>
      <c r="K121" s="3">
        <v>45</v>
      </c>
      <c r="L121" s="3">
        <v>22</v>
      </c>
      <c r="M121" s="3">
        <v>25</v>
      </c>
      <c r="N121" s="3"/>
      <c r="O121" s="3">
        <f t="shared" si="92"/>
        <v>104</v>
      </c>
      <c r="P121" s="3">
        <f t="shared" si="93"/>
        <v>122</v>
      </c>
      <c r="Q121" s="3" t="str">
        <f t="shared" si="94"/>
        <v>TT</v>
      </c>
      <c r="R121" s="3" t="str">
        <f t="shared" si="95"/>
        <v>HL</v>
      </c>
      <c r="S121" s="3" t="str">
        <f t="shared" si="96"/>
        <v>TT</v>
      </c>
      <c r="T121" s="3" t="str">
        <f t="shared" si="97"/>
        <v>HW</v>
      </c>
      <c r="U121" s="3" t="str">
        <f t="shared" si="98"/>
        <v>T</v>
      </c>
      <c r="V121" s="3" t="str">
        <f t="shared" si="99"/>
        <v>O</v>
      </c>
      <c r="W121" s="3" t="str">
        <f t="shared" si="100"/>
        <v>U</v>
      </c>
      <c r="X121" s="3" t="str">
        <f t="shared" si="101"/>
        <v>U</v>
      </c>
      <c r="Z121" s="3">
        <v>60</v>
      </c>
      <c r="AA121" t="str">
        <f t="shared" si="91"/>
        <v>NO/TOR</v>
      </c>
    </row>
    <row r="122" spans="1:27" ht="17.100000000000001" x14ac:dyDescent="0.45">
      <c r="A122" s="3">
        <v>191109</v>
      </c>
      <c r="B122" s="1">
        <v>0.41666666666666669</v>
      </c>
      <c r="C122" s="3" t="s">
        <v>29</v>
      </c>
      <c r="D122" s="3" t="s">
        <v>51</v>
      </c>
      <c r="E122" s="3">
        <v>29</v>
      </c>
      <c r="F122" s="3">
        <v>31</v>
      </c>
      <c r="G122" s="3">
        <v>20</v>
      </c>
      <c r="H122" s="3">
        <v>30</v>
      </c>
      <c r="I122" s="3">
        <v>15</v>
      </c>
      <c r="J122" s="3">
        <v>31</v>
      </c>
      <c r="K122" s="3">
        <v>30</v>
      </c>
      <c r="L122" s="3">
        <v>25</v>
      </c>
      <c r="M122" s="3">
        <v>24</v>
      </c>
      <c r="N122" s="3">
        <v>9</v>
      </c>
      <c r="O122" s="3">
        <f t="shared" si="92"/>
        <v>125</v>
      </c>
      <c r="P122" s="3">
        <f t="shared" si="93"/>
        <v>119</v>
      </c>
      <c r="Q122" s="3" t="str">
        <f t="shared" si="94"/>
        <v>HL</v>
      </c>
      <c r="R122" s="3" t="str">
        <f t="shared" si="95"/>
        <v>HW</v>
      </c>
      <c r="S122" s="3" t="str">
        <f t="shared" si="96"/>
        <v>HL</v>
      </c>
      <c r="T122" s="3" t="str">
        <f t="shared" si="97"/>
        <v>HW</v>
      </c>
      <c r="U122" s="3" t="str">
        <f t="shared" si="98"/>
        <v>O</v>
      </c>
      <c r="V122" s="3" t="str">
        <f t="shared" si="99"/>
        <v>O</v>
      </c>
      <c r="W122" s="3" t="str">
        <f t="shared" si="100"/>
        <v>U</v>
      </c>
      <c r="X122" s="3" t="str">
        <f t="shared" si="101"/>
        <v>U</v>
      </c>
      <c r="Z122" s="3">
        <v>59.5</v>
      </c>
      <c r="AA122" t="str">
        <f t="shared" si="91"/>
        <v>MIN/GS</v>
      </c>
    </row>
    <row r="123" spans="1:27" ht="17.100000000000001" x14ac:dyDescent="0.45">
      <c r="A123" s="3">
        <v>191109</v>
      </c>
      <c r="B123" s="1">
        <v>0.4375</v>
      </c>
      <c r="C123" s="3" t="s">
        <v>33</v>
      </c>
      <c r="D123" s="3" t="s">
        <v>47</v>
      </c>
      <c r="E123" s="3">
        <v>28</v>
      </c>
      <c r="F123" s="3">
        <v>29</v>
      </c>
      <c r="G123" s="3">
        <v>23</v>
      </c>
      <c r="H123" s="3">
        <v>22</v>
      </c>
      <c r="I123" s="3"/>
      <c r="J123" s="3">
        <v>36</v>
      </c>
      <c r="K123" s="3">
        <v>25</v>
      </c>
      <c r="L123" s="3">
        <v>23</v>
      </c>
      <c r="M123" s="3">
        <v>22</v>
      </c>
      <c r="N123" s="3"/>
      <c r="O123" s="3">
        <f t="shared" si="92"/>
        <v>102</v>
      </c>
      <c r="P123" s="3">
        <f t="shared" si="93"/>
        <v>106</v>
      </c>
      <c r="Q123" s="3" t="str">
        <f t="shared" si="94"/>
        <v>HL</v>
      </c>
      <c r="R123" s="3" t="str">
        <f t="shared" si="95"/>
        <v>HW</v>
      </c>
      <c r="S123" s="3" t="str">
        <f t="shared" si="96"/>
        <v>TT</v>
      </c>
      <c r="T123" s="3" t="str">
        <f t="shared" si="97"/>
        <v>TT</v>
      </c>
      <c r="U123" s="3" t="str">
        <f t="shared" si="98"/>
        <v>O</v>
      </c>
      <c r="V123" s="3" t="str">
        <f t="shared" si="99"/>
        <v>U</v>
      </c>
      <c r="W123" s="3" t="str">
        <f t="shared" si="100"/>
        <v>U</v>
      </c>
      <c r="X123" s="3" t="str">
        <f t="shared" si="101"/>
        <v>U</v>
      </c>
      <c r="Z123" s="3">
        <v>55</v>
      </c>
      <c r="AA123" t="str">
        <f t="shared" si="91"/>
        <v>DAL/NYK</v>
      </c>
    </row>
    <row r="124" spans="1:27" ht="17.100000000000001" x14ac:dyDescent="0.45">
      <c r="A124" s="3">
        <v>191109</v>
      </c>
      <c r="B124" s="1">
        <v>0.45833333333333331</v>
      </c>
      <c r="C124" s="3" t="s">
        <v>46</v>
      </c>
      <c r="D124" s="3" t="s">
        <v>41</v>
      </c>
      <c r="E124" s="3">
        <v>18</v>
      </c>
      <c r="F124" s="3">
        <v>24</v>
      </c>
      <c r="G124" s="3">
        <v>23</v>
      </c>
      <c r="H124" s="3">
        <v>35</v>
      </c>
      <c r="I124" s="3"/>
      <c r="J124" s="3">
        <v>24</v>
      </c>
      <c r="K124" s="3">
        <v>33</v>
      </c>
      <c r="L124" s="3">
        <v>27</v>
      </c>
      <c r="M124" s="3">
        <v>13</v>
      </c>
      <c r="N124" s="3"/>
      <c r="O124" s="3">
        <f t="shared" si="92"/>
        <v>100</v>
      </c>
      <c r="P124" s="3">
        <f t="shared" si="93"/>
        <v>97</v>
      </c>
      <c r="Q124" s="3" t="str">
        <f t="shared" si="94"/>
        <v>HL</v>
      </c>
      <c r="R124" s="3" t="str">
        <f t="shared" si="95"/>
        <v>HL</v>
      </c>
      <c r="S124" s="3" t="str">
        <f t="shared" si="96"/>
        <v>HL</v>
      </c>
      <c r="T124" s="3" t="str">
        <f t="shared" si="97"/>
        <v>HW</v>
      </c>
      <c r="U124" s="3" t="str">
        <f t="shared" si="98"/>
        <v>U</v>
      </c>
      <c r="V124" s="3" t="str">
        <f t="shared" si="99"/>
        <v>O</v>
      </c>
      <c r="W124" s="3" t="str">
        <f t="shared" si="100"/>
        <v>U</v>
      </c>
      <c r="X124" s="3" t="str">
        <f t="shared" si="101"/>
        <v>U</v>
      </c>
      <c r="Z124" s="3">
        <v>52.5</v>
      </c>
      <c r="AA124" t="str">
        <f t="shared" si="91"/>
        <v>DEN/PHI</v>
      </c>
    </row>
    <row r="125" spans="1:27" ht="17.100000000000001" x14ac:dyDescent="0.45">
      <c r="A125" s="3">
        <v>191109</v>
      </c>
      <c r="B125" s="1">
        <v>0.45833333333333331</v>
      </c>
      <c r="C125" s="3" t="s">
        <v>48</v>
      </c>
      <c r="D125" s="3" t="s">
        <v>53</v>
      </c>
      <c r="E125" s="3">
        <v>30</v>
      </c>
      <c r="F125" s="3">
        <v>25</v>
      </c>
      <c r="G125" s="3">
        <v>26</v>
      </c>
      <c r="H125" s="3">
        <v>22</v>
      </c>
      <c r="I125" s="3"/>
      <c r="J125" s="3">
        <v>16</v>
      </c>
      <c r="K125" s="3">
        <v>19</v>
      </c>
      <c r="L125" s="3">
        <v>39</v>
      </c>
      <c r="M125" s="3">
        <v>26</v>
      </c>
      <c r="N125" s="3"/>
      <c r="O125" s="3">
        <f t="shared" si="92"/>
        <v>103</v>
      </c>
      <c r="P125" s="3">
        <f t="shared" si="93"/>
        <v>100</v>
      </c>
      <c r="Q125" s="3" t="str">
        <f t="shared" si="94"/>
        <v>HW</v>
      </c>
      <c r="R125" s="3" t="str">
        <f t="shared" si="95"/>
        <v>HW</v>
      </c>
      <c r="S125" s="3" t="str">
        <f t="shared" si="96"/>
        <v>HL</v>
      </c>
      <c r="T125" s="3" t="str">
        <f t="shared" si="97"/>
        <v>HL</v>
      </c>
      <c r="U125" s="3" t="str">
        <f t="shared" si="98"/>
        <v>U</v>
      </c>
      <c r="V125" s="3" t="str">
        <f t="shared" si="99"/>
        <v>U</v>
      </c>
      <c r="W125" s="3" t="str">
        <f t="shared" si="100"/>
        <v>O</v>
      </c>
      <c r="X125" s="3" t="str">
        <f t="shared" si="101"/>
        <v>U</v>
      </c>
      <c r="Z125" s="3">
        <v>52.5</v>
      </c>
      <c r="AA125" t="str">
        <f t="shared" si="91"/>
        <v>UTA/MIL</v>
      </c>
    </row>
    <row r="126" spans="1:27" ht="17.100000000000001" x14ac:dyDescent="0.45">
      <c r="A126" s="3">
        <v>191109</v>
      </c>
      <c r="B126" s="1">
        <v>0.5</v>
      </c>
      <c r="C126" s="3" t="s">
        <v>45</v>
      </c>
      <c r="D126" s="3" t="s">
        <v>30</v>
      </c>
      <c r="E126" s="3">
        <v>20</v>
      </c>
      <c r="F126" s="3">
        <v>29</v>
      </c>
      <c r="G126" s="3">
        <v>37</v>
      </c>
      <c r="H126" s="3">
        <v>29</v>
      </c>
      <c r="I126" s="3"/>
      <c r="J126" s="3">
        <v>26</v>
      </c>
      <c r="K126" s="3">
        <v>28</v>
      </c>
      <c r="L126" s="3">
        <v>35</v>
      </c>
      <c r="M126" s="3">
        <v>30</v>
      </c>
      <c r="N126" s="3"/>
      <c r="O126" s="3">
        <f t="shared" si="92"/>
        <v>115</v>
      </c>
      <c r="P126" s="3">
        <f t="shared" si="93"/>
        <v>119</v>
      </c>
      <c r="Q126" s="3" t="str">
        <f t="shared" si="94"/>
        <v>HL</v>
      </c>
      <c r="R126" s="3" t="str">
        <f t="shared" si="95"/>
        <v>HW</v>
      </c>
      <c r="S126" s="3" t="str">
        <f t="shared" si="96"/>
        <v>HW</v>
      </c>
      <c r="T126" s="3" t="str">
        <f t="shared" si="97"/>
        <v>HL</v>
      </c>
      <c r="U126" s="3" t="str">
        <f t="shared" si="98"/>
        <v>U</v>
      </c>
      <c r="V126" s="3" t="str">
        <f t="shared" si="99"/>
        <v>U</v>
      </c>
      <c r="W126" s="3" t="str">
        <f t="shared" si="100"/>
        <v>O</v>
      </c>
      <c r="X126" s="3" t="str">
        <f t="shared" si="101"/>
        <v>O</v>
      </c>
      <c r="Z126" s="3">
        <v>57.5</v>
      </c>
      <c r="AA126" t="str">
        <f t="shared" si="91"/>
        <v>POR/BKN</v>
      </c>
    </row>
    <row r="127" spans="1:27" ht="17.100000000000001" x14ac:dyDescent="0.45">
      <c r="A127" s="3">
        <v>191109</v>
      </c>
      <c r="B127" s="1">
        <v>0.52083333333333337</v>
      </c>
      <c r="C127" s="3" t="s">
        <v>26</v>
      </c>
      <c r="D127" s="3" t="s">
        <v>37</v>
      </c>
      <c r="E127" s="3">
        <v>28</v>
      </c>
      <c r="F127" s="3">
        <v>20</v>
      </c>
      <c r="G127" s="3">
        <v>30</v>
      </c>
      <c r="H127" s="3">
        <v>17</v>
      </c>
      <c r="I127" s="3"/>
      <c r="J127" s="3">
        <v>21</v>
      </c>
      <c r="K127" s="3">
        <v>25</v>
      </c>
      <c r="L127" s="3">
        <v>20</v>
      </c>
      <c r="M127" s="3">
        <v>14</v>
      </c>
      <c r="N127" s="3"/>
      <c r="O127" s="3">
        <f t="shared" si="92"/>
        <v>95</v>
      </c>
      <c r="P127" s="3">
        <f t="shared" si="93"/>
        <v>80</v>
      </c>
      <c r="Q127" s="3" t="str">
        <f t="shared" si="94"/>
        <v>HW</v>
      </c>
      <c r="R127" s="3" t="str">
        <f t="shared" si="95"/>
        <v>HL</v>
      </c>
      <c r="S127" s="3" t="str">
        <f t="shared" si="96"/>
        <v>HW</v>
      </c>
      <c r="T127" s="3" t="str">
        <f t="shared" si="97"/>
        <v>HW</v>
      </c>
      <c r="U127" s="3" t="str">
        <f t="shared" si="98"/>
        <v>U</v>
      </c>
      <c r="V127" s="3" t="str">
        <f t="shared" si="99"/>
        <v>U</v>
      </c>
      <c r="W127" s="3" t="str">
        <f t="shared" si="100"/>
        <v>U</v>
      </c>
      <c r="X127" s="3" t="str">
        <f t="shared" si="101"/>
        <v>U</v>
      </c>
      <c r="Z127" s="3">
        <v>56</v>
      </c>
      <c r="AA127" t="str">
        <f t="shared" si="91"/>
        <v>LAL/MIA</v>
      </c>
    </row>
    <row r="128" spans="1:27" ht="17.100000000000001" x14ac:dyDescent="0.45">
      <c r="A128" s="3">
        <v>191110</v>
      </c>
      <c r="B128" s="1">
        <v>0.29166666666666669</v>
      </c>
      <c r="C128" s="3" t="s">
        <v>153</v>
      </c>
      <c r="D128" s="3" t="s">
        <v>154</v>
      </c>
      <c r="E128" s="3">
        <v>30</v>
      </c>
      <c r="F128" s="3">
        <v>24</v>
      </c>
      <c r="G128" s="3">
        <v>37</v>
      </c>
      <c r="H128" s="3">
        <v>24</v>
      </c>
      <c r="I128" s="3"/>
      <c r="J128" s="3">
        <v>39</v>
      </c>
      <c r="K128" s="3">
        <v>33</v>
      </c>
      <c r="L128" s="3">
        <v>32</v>
      </c>
      <c r="M128" s="3">
        <v>31</v>
      </c>
      <c r="N128" s="3"/>
      <c r="O128" s="3">
        <f t="shared" si="92"/>
        <v>115</v>
      </c>
      <c r="P128" s="3">
        <f t="shared" si="93"/>
        <v>135</v>
      </c>
      <c r="Q128" s="3" t="str">
        <f t="shared" si="94"/>
        <v>HL</v>
      </c>
      <c r="R128" s="3" t="str">
        <f t="shared" si="95"/>
        <v>HL</v>
      </c>
      <c r="S128" s="3" t="str">
        <f t="shared" si="96"/>
        <v>HW</v>
      </c>
      <c r="T128" s="3" t="str">
        <f t="shared" si="97"/>
        <v>HL</v>
      </c>
      <c r="U128" s="3" t="str">
        <f t="shared" si="98"/>
        <v>O</v>
      </c>
      <c r="V128" s="3" t="str">
        <f t="shared" si="99"/>
        <v>O</v>
      </c>
      <c r="W128" s="3" t="str">
        <f t="shared" si="100"/>
        <v>O</v>
      </c>
      <c r="X128" s="3" t="str">
        <f t="shared" si="101"/>
        <v>O</v>
      </c>
      <c r="Z128" s="3">
        <v>52.5</v>
      </c>
      <c r="AA128" s="3" t="str">
        <f t="shared" si="91"/>
        <v>SAS/BOS</v>
      </c>
    </row>
    <row r="129" spans="1:27" ht="17.100000000000001" x14ac:dyDescent="0.45">
      <c r="A129" s="3">
        <v>191110</v>
      </c>
      <c r="B129" s="1">
        <v>0.375</v>
      </c>
      <c r="C129" s="3" t="s">
        <v>155</v>
      </c>
      <c r="D129" s="3" t="s">
        <v>156</v>
      </c>
      <c r="E129" s="3">
        <v>28</v>
      </c>
      <c r="F129" s="3">
        <v>33</v>
      </c>
      <c r="G129" s="3">
        <v>25</v>
      </c>
      <c r="H129" s="3">
        <v>24</v>
      </c>
      <c r="I129" s="3"/>
      <c r="J129" s="3">
        <v>33</v>
      </c>
      <c r="K129" s="3">
        <v>22</v>
      </c>
      <c r="L129" s="3">
        <v>26</v>
      </c>
      <c r="M129" s="3">
        <v>34</v>
      </c>
      <c r="N129" s="3"/>
      <c r="O129" s="3">
        <f t="shared" si="92"/>
        <v>110</v>
      </c>
      <c r="P129" s="3">
        <f t="shared" si="93"/>
        <v>115</v>
      </c>
      <c r="Q129" s="3" t="str">
        <f t="shared" si="94"/>
        <v>HL</v>
      </c>
      <c r="R129" s="3" t="str">
        <f t="shared" si="95"/>
        <v>HW</v>
      </c>
      <c r="S129" s="3" t="str">
        <f t="shared" si="96"/>
        <v>HL</v>
      </c>
      <c r="T129" s="3" t="str">
        <f t="shared" si="97"/>
        <v>HL</v>
      </c>
      <c r="U129" s="3" t="str">
        <f t="shared" si="98"/>
        <v>O</v>
      </c>
      <c r="V129" s="3" t="str">
        <f t="shared" si="99"/>
        <v>U</v>
      </c>
      <c r="W129" s="3" t="str">
        <f t="shared" si="100"/>
        <v>U</v>
      </c>
      <c r="X129" s="3" t="str">
        <f t="shared" si="101"/>
        <v>U</v>
      </c>
      <c r="Z129" s="3">
        <v>59.5</v>
      </c>
      <c r="AA129" s="3" t="str">
        <f t="shared" si="91"/>
        <v>CHA/NO</v>
      </c>
    </row>
    <row r="130" spans="1:27" ht="17.100000000000001" x14ac:dyDescent="0.45">
      <c r="A130" s="3">
        <v>191110</v>
      </c>
      <c r="B130" s="1">
        <v>0.41666666666666669</v>
      </c>
      <c r="C130" s="3" t="s">
        <v>157</v>
      </c>
      <c r="D130" s="3" t="s">
        <v>158</v>
      </c>
      <c r="E130" s="3">
        <v>27</v>
      </c>
      <c r="F130" s="3">
        <v>22</v>
      </c>
      <c r="G130" s="3">
        <v>18</v>
      </c>
      <c r="H130" s="3">
        <v>27</v>
      </c>
      <c r="I130" s="3"/>
      <c r="J130" s="3">
        <v>20</v>
      </c>
      <c r="K130" s="3">
        <v>30</v>
      </c>
      <c r="L130" s="3">
        <v>36</v>
      </c>
      <c r="M130" s="3">
        <v>31</v>
      </c>
      <c r="N130" s="3"/>
      <c r="O130" s="3">
        <f t="shared" si="92"/>
        <v>94</v>
      </c>
      <c r="P130" s="3">
        <f t="shared" si="93"/>
        <v>117</v>
      </c>
      <c r="Q130" s="3" t="str">
        <f t="shared" si="94"/>
        <v>HW</v>
      </c>
      <c r="R130" s="3" t="str">
        <f t="shared" si="95"/>
        <v>HL</v>
      </c>
      <c r="S130" s="3" t="str">
        <f t="shared" si="96"/>
        <v>HL</v>
      </c>
      <c r="T130" s="3" t="str">
        <f t="shared" si="97"/>
        <v>HL</v>
      </c>
      <c r="U130" s="3" t="str">
        <f t="shared" si="98"/>
        <v>U</v>
      </c>
      <c r="V130" s="3" t="str">
        <f t="shared" si="99"/>
        <v>U</v>
      </c>
      <c r="W130" s="3" t="str">
        <f t="shared" si="100"/>
        <v>U</v>
      </c>
      <c r="X130" s="3" t="str">
        <f t="shared" si="101"/>
        <v>U</v>
      </c>
      <c r="Z130" s="3">
        <v>60.5</v>
      </c>
      <c r="AA130" s="3" t="str">
        <f t="shared" si="91"/>
        <v>CHI/HOU</v>
      </c>
    </row>
    <row r="131" spans="1:27" ht="17.100000000000001" x14ac:dyDescent="0.45">
      <c r="A131" s="3">
        <v>191110</v>
      </c>
      <c r="B131" s="1">
        <v>0.41666666666666669</v>
      </c>
      <c r="C131" s="3" t="s">
        <v>159</v>
      </c>
      <c r="D131" s="3" t="s">
        <v>160</v>
      </c>
      <c r="E131" s="3">
        <v>36</v>
      </c>
      <c r="F131" s="3">
        <v>24</v>
      </c>
      <c r="G131" s="3">
        <v>24</v>
      </c>
      <c r="H131" s="3">
        <v>30</v>
      </c>
      <c r="I131" s="3"/>
      <c r="J131" s="3">
        <v>27</v>
      </c>
      <c r="K131" s="3">
        <v>16</v>
      </c>
      <c r="L131" s="3">
        <v>41</v>
      </c>
      <c r="M131" s="3">
        <v>24</v>
      </c>
      <c r="N131" s="3"/>
      <c r="O131" s="3">
        <f t="shared" si="92"/>
        <v>114</v>
      </c>
      <c r="P131" s="3">
        <f t="shared" si="93"/>
        <v>108</v>
      </c>
      <c r="Q131" s="3" t="str">
        <f t="shared" si="94"/>
        <v>HW</v>
      </c>
      <c r="R131" s="3" t="str">
        <f t="shared" si="95"/>
        <v>HW</v>
      </c>
      <c r="S131" s="3" t="str">
        <f t="shared" si="96"/>
        <v>HL</v>
      </c>
      <c r="T131" s="3" t="str">
        <f t="shared" si="97"/>
        <v>HW</v>
      </c>
      <c r="U131" s="3" t="str">
        <f t="shared" si="98"/>
        <v>O</v>
      </c>
      <c r="V131" s="3" t="str">
        <f t="shared" si="99"/>
        <v>U</v>
      </c>
      <c r="W131" s="3" t="str">
        <f t="shared" si="100"/>
        <v>O</v>
      </c>
      <c r="X131" s="3" t="str">
        <f t="shared" si="101"/>
        <v>U</v>
      </c>
      <c r="Z131" s="3">
        <v>56.5</v>
      </c>
      <c r="AA131" s="3" t="str">
        <f t="shared" si="91"/>
        <v>OKC/GS</v>
      </c>
    </row>
    <row r="132" spans="1:27" ht="17.100000000000001" x14ac:dyDescent="0.45">
      <c r="A132" s="3">
        <v>191110</v>
      </c>
      <c r="B132" s="1">
        <v>0.41666666666666669</v>
      </c>
      <c r="C132" s="3" t="s">
        <v>161</v>
      </c>
      <c r="D132" s="3" t="s">
        <v>162</v>
      </c>
      <c r="E132" s="3">
        <v>34</v>
      </c>
      <c r="F132" s="3">
        <v>28</v>
      </c>
      <c r="G132" s="3">
        <v>29</v>
      </c>
      <c r="H132" s="3">
        <v>31</v>
      </c>
      <c r="I132" s="3"/>
      <c r="J132" s="3">
        <v>31</v>
      </c>
      <c r="K132" s="3">
        <v>37</v>
      </c>
      <c r="L132" s="3">
        <v>36</v>
      </c>
      <c r="M132" s="3">
        <v>34</v>
      </c>
      <c r="N132" s="3"/>
      <c r="O132" s="3">
        <f t="shared" si="92"/>
        <v>122</v>
      </c>
      <c r="P132" s="3">
        <f t="shared" si="93"/>
        <v>138</v>
      </c>
      <c r="Q132" s="3" t="str">
        <f t="shared" si="94"/>
        <v>HW</v>
      </c>
      <c r="R132" s="3" t="str">
        <f t="shared" si="95"/>
        <v>HL</v>
      </c>
      <c r="S132" s="3" t="str">
        <f t="shared" si="96"/>
        <v>HL</v>
      </c>
      <c r="T132" s="3" t="str">
        <f t="shared" si="97"/>
        <v>HL</v>
      </c>
      <c r="U132" s="3" t="str">
        <f t="shared" si="98"/>
        <v>O</v>
      </c>
      <c r="V132" s="3" t="str">
        <f t="shared" si="99"/>
        <v>O</v>
      </c>
      <c r="W132" s="3" t="str">
        <f t="shared" si="100"/>
        <v>O</v>
      </c>
      <c r="X132" s="3" t="str">
        <f t="shared" si="101"/>
        <v>O</v>
      </c>
      <c r="Z132" s="3">
        <v>56.5</v>
      </c>
      <c r="AA132" s="3" t="str">
        <f t="shared" si="91"/>
        <v>MEM/DAL</v>
      </c>
    </row>
    <row r="133" spans="1:27" ht="17.100000000000001" x14ac:dyDescent="0.45">
      <c r="A133" s="3">
        <v>191111</v>
      </c>
      <c r="B133" s="1">
        <v>0.22916666666666666</v>
      </c>
      <c r="C133" s="3" t="s">
        <v>163</v>
      </c>
      <c r="D133" s="3" t="s">
        <v>164</v>
      </c>
      <c r="E133" s="3">
        <v>27</v>
      </c>
      <c r="F133" s="3">
        <v>24</v>
      </c>
      <c r="G133" s="3">
        <v>13</v>
      </c>
      <c r="H133" s="3">
        <v>26</v>
      </c>
      <c r="I133" s="3">
        <v>8</v>
      </c>
      <c r="J133" s="3">
        <v>27</v>
      </c>
      <c r="K133" s="3">
        <v>22</v>
      </c>
      <c r="L133" s="3">
        <v>27</v>
      </c>
      <c r="M133" s="3">
        <v>14</v>
      </c>
      <c r="N133" s="3">
        <v>10</v>
      </c>
      <c r="O133" s="3">
        <f t="shared" si="92"/>
        <v>98</v>
      </c>
      <c r="P133" s="3">
        <f t="shared" si="93"/>
        <v>100</v>
      </c>
      <c r="Q133" s="3" t="str">
        <f t="shared" si="94"/>
        <v>TT</v>
      </c>
      <c r="R133" s="3" t="str">
        <f t="shared" si="95"/>
        <v>HW</v>
      </c>
      <c r="S133" s="3" t="str">
        <f t="shared" si="96"/>
        <v>HL</v>
      </c>
      <c r="T133" s="3" t="str">
        <f t="shared" si="97"/>
        <v>HW</v>
      </c>
      <c r="U133" s="3" t="str">
        <f t="shared" si="98"/>
        <v>U</v>
      </c>
      <c r="V133" s="3" t="str">
        <f t="shared" si="99"/>
        <v>U</v>
      </c>
      <c r="W133" s="3" t="str">
        <f t="shared" si="100"/>
        <v>U</v>
      </c>
      <c r="X133" s="3" t="str">
        <f t="shared" si="101"/>
        <v>U</v>
      </c>
      <c r="Z133" s="3">
        <v>56</v>
      </c>
      <c r="AA133" s="3" t="str">
        <f t="shared" si="91"/>
        <v>MIN/DEN</v>
      </c>
    </row>
    <row r="134" spans="1:27" ht="17.100000000000001" x14ac:dyDescent="0.45">
      <c r="A134" s="3">
        <v>191111</v>
      </c>
      <c r="B134" s="1">
        <v>0.33333333333333331</v>
      </c>
      <c r="C134" s="3" t="s">
        <v>165</v>
      </c>
      <c r="D134" s="3" t="s">
        <v>166</v>
      </c>
      <c r="E134" s="3">
        <v>33</v>
      </c>
      <c r="F134" s="3">
        <v>27</v>
      </c>
      <c r="G134" s="3">
        <v>17</v>
      </c>
      <c r="H134" s="3">
        <v>25</v>
      </c>
      <c r="I134" s="3"/>
      <c r="J134" s="3">
        <v>29</v>
      </c>
      <c r="K134" s="3">
        <v>22</v>
      </c>
      <c r="L134" s="3">
        <v>30</v>
      </c>
      <c r="M134" s="3">
        <v>28</v>
      </c>
      <c r="N134" s="3"/>
      <c r="O134" s="3">
        <f t="shared" si="92"/>
        <v>102</v>
      </c>
      <c r="P134" s="3">
        <f t="shared" si="93"/>
        <v>109</v>
      </c>
      <c r="Q134" s="3" t="str">
        <f t="shared" si="94"/>
        <v>HW</v>
      </c>
      <c r="R134" s="3" t="str">
        <f t="shared" si="95"/>
        <v>HW</v>
      </c>
      <c r="S134" s="3" t="str">
        <f t="shared" si="96"/>
        <v>HL</v>
      </c>
      <c r="T134" s="3" t="str">
        <f t="shared" si="97"/>
        <v>HL</v>
      </c>
      <c r="U134" s="3" t="str">
        <f t="shared" si="98"/>
        <v>O</v>
      </c>
      <c r="V134" s="3" t="str">
        <f t="shared" si="99"/>
        <v>U</v>
      </c>
      <c r="W134" s="3" t="str">
        <f t="shared" si="100"/>
        <v>U</v>
      </c>
      <c r="X134" s="3" t="str">
        <f t="shared" si="101"/>
        <v>O</v>
      </c>
      <c r="Z134" s="3">
        <v>52</v>
      </c>
      <c r="AA134" s="3" t="str">
        <f t="shared" si="91"/>
        <v>ORL/IND</v>
      </c>
    </row>
    <row r="135" spans="1:27" ht="17.100000000000001" x14ac:dyDescent="0.45">
      <c r="A135" s="3">
        <v>191111</v>
      </c>
      <c r="B135" s="1">
        <v>0.33333333333333331</v>
      </c>
      <c r="C135" s="3" t="s">
        <v>167</v>
      </c>
      <c r="D135" s="3" t="s">
        <v>155</v>
      </c>
      <c r="E135" s="3">
        <v>33</v>
      </c>
      <c r="F135" s="3">
        <v>20</v>
      </c>
      <c r="G135" s="3">
        <v>35</v>
      </c>
      <c r="H135" s="3">
        <v>26</v>
      </c>
      <c r="I135" s="3"/>
      <c r="J135" s="3">
        <v>24</v>
      </c>
      <c r="K135" s="3">
        <v>34</v>
      </c>
      <c r="L135" s="3">
        <v>23</v>
      </c>
      <c r="M135" s="3">
        <v>25</v>
      </c>
      <c r="N135" s="3"/>
      <c r="O135" s="3">
        <f t="shared" si="92"/>
        <v>114</v>
      </c>
      <c r="P135" s="3">
        <f t="shared" si="93"/>
        <v>106</v>
      </c>
      <c r="Q135" s="3" t="str">
        <f t="shared" si="94"/>
        <v>HW</v>
      </c>
      <c r="R135" s="3" t="str">
        <f t="shared" si="95"/>
        <v>HL</v>
      </c>
      <c r="S135" s="3" t="str">
        <f t="shared" si="96"/>
        <v>HW</v>
      </c>
      <c r="T135" s="3" t="str">
        <f t="shared" si="97"/>
        <v>HW</v>
      </c>
      <c r="U135" s="3" t="str">
        <f t="shared" si="98"/>
        <v>O</v>
      </c>
      <c r="V135" s="3" t="str">
        <f t="shared" si="99"/>
        <v>U</v>
      </c>
      <c r="W135" s="3" t="str">
        <f t="shared" si="100"/>
        <v>O</v>
      </c>
      <c r="X135" s="3" t="str">
        <f t="shared" si="101"/>
        <v>U</v>
      </c>
      <c r="Z135" s="3">
        <v>55.5</v>
      </c>
      <c r="AA135" s="3" t="str">
        <f t="shared" si="91"/>
        <v>PHI/CHA</v>
      </c>
    </row>
    <row r="136" spans="1:27" ht="17.100000000000001" x14ac:dyDescent="0.45">
      <c r="A136" s="3">
        <v>191111</v>
      </c>
      <c r="B136" s="1">
        <v>0.375</v>
      </c>
      <c r="C136" s="3" t="s">
        <v>159</v>
      </c>
      <c r="D136" s="3" t="s">
        <v>168</v>
      </c>
      <c r="E136" s="3">
        <v>24</v>
      </c>
      <c r="F136" s="3">
        <v>32</v>
      </c>
      <c r="G136" s="3">
        <v>24</v>
      </c>
      <c r="H136" s="3">
        <v>39</v>
      </c>
      <c r="I136" s="3"/>
      <c r="J136" s="3">
        <v>21</v>
      </c>
      <c r="K136" s="3">
        <v>29</v>
      </c>
      <c r="L136" s="3">
        <v>37</v>
      </c>
      <c r="M136" s="3">
        <v>34</v>
      </c>
      <c r="N136" s="3"/>
      <c r="O136" s="3">
        <f t="shared" si="92"/>
        <v>119</v>
      </c>
      <c r="P136" s="3">
        <f t="shared" si="93"/>
        <v>121</v>
      </c>
      <c r="Q136" s="3" t="str">
        <f t="shared" si="94"/>
        <v>HW</v>
      </c>
      <c r="R136" s="3" t="str">
        <f t="shared" si="95"/>
        <v>HW</v>
      </c>
      <c r="S136" s="3" t="str">
        <f t="shared" si="96"/>
        <v>HL</v>
      </c>
      <c r="T136" s="3" t="str">
        <f t="shared" si="97"/>
        <v>HW</v>
      </c>
      <c r="U136" s="3" t="str">
        <f t="shared" si="98"/>
        <v>U</v>
      </c>
      <c r="V136" s="3" t="str">
        <f t="shared" si="99"/>
        <v>O</v>
      </c>
      <c r="W136" s="3" t="str">
        <f t="shared" si="100"/>
        <v>O</v>
      </c>
      <c r="X136" s="3" t="str">
        <f t="shared" si="101"/>
        <v>O</v>
      </c>
      <c r="Z136" s="3">
        <v>53.5</v>
      </c>
      <c r="AA136" s="3" t="str">
        <f t="shared" si="91"/>
        <v>OKC/MIL</v>
      </c>
    </row>
    <row r="137" spans="1:27" ht="17.100000000000001" x14ac:dyDescent="0.45">
      <c r="A137" s="3">
        <v>191111</v>
      </c>
      <c r="B137" s="1">
        <v>0.39583333333333331</v>
      </c>
      <c r="C137" s="3" t="s">
        <v>47</v>
      </c>
      <c r="D137" s="3" t="s">
        <v>169</v>
      </c>
      <c r="E137" s="3">
        <v>19</v>
      </c>
      <c r="F137" s="3">
        <v>17</v>
      </c>
      <c r="G137" s="3">
        <v>27</v>
      </c>
      <c r="H137" s="3">
        <v>24</v>
      </c>
      <c r="I137" s="3"/>
      <c r="J137" s="3">
        <v>31</v>
      </c>
      <c r="K137" s="3">
        <v>23</v>
      </c>
      <c r="L137" s="3">
        <v>24</v>
      </c>
      <c r="M137" s="3">
        <v>30</v>
      </c>
      <c r="N137" s="3"/>
      <c r="O137" s="3">
        <f t="shared" si="92"/>
        <v>87</v>
      </c>
      <c r="P137" s="3">
        <f t="shared" si="93"/>
        <v>108</v>
      </c>
      <c r="Q137" s="3" t="str">
        <f t="shared" si="94"/>
        <v>HL</v>
      </c>
      <c r="R137" s="3" t="str">
        <f t="shared" si="95"/>
        <v>HL</v>
      </c>
      <c r="S137" s="3" t="str">
        <f t="shared" si="96"/>
        <v>HW</v>
      </c>
      <c r="T137" s="3" t="str">
        <f t="shared" si="97"/>
        <v>HL</v>
      </c>
      <c r="U137" s="3" t="str">
        <f t="shared" si="98"/>
        <v>U</v>
      </c>
      <c r="V137" s="3" t="str">
        <f t="shared" si="99"/>
        <v>U</v>
      </c>
      <c r="W137" s="3" t="str">
        <f t="shared" si="100"/>
        <v>U</v>
      </c>
      <c r="X137" s="3" t="str">
        <f t="shared" si="101"/>
        <v>O</v>
      </c>
      <c r="Z137" s="3">
        <v>52</v>
      </c>
      <c r="AA137" s="3" t="str">
        <f t="shared" si="91"/>
        <v>NYK/CLE</v>
      </c>
    </row>
    <row r="138" spans="1:27" ht="17.100000000000001" x14ac:dyDescent="0.45">
      <c r="A138" s="3">
        <v>191111</v>
      </c>
      <c r="B138" s="1">
        <v>0.41666666666666669</v>
      </c>
      <c r="C138" s="3" t="s">
        <v>170</v>
      </c>
      <c r="D138" s="3" t="s">
        <v>171</v>
      </c>
      <c r="E138" s="3">
        <v>37</v>
      </c>
      <c r="F138" s="3">
        <v>31</v>
      </c>
      <c r="G138" s="3">
        <v>38</v>
      </c>
      <c r="H138" s="3">
        <v>32</v>
      </c>
      <c r="I138" s="3"/>
      <c r="J138" s="3">
        <v>30</v>
      </c>
      <c r="K138" s="3">
        <v>20</v>
      </c>
      <c r="L138" s="3">
        <v>30</v>
      </c>
      <c r="M138" s="3">
        <v>32</v>
      </c>
      <c r="N138" s="3"/>
      <c r="O138" s="3">
        <f t="shared" si="92"/>
        <v>138</v>
      </c>
      <c r="P138" s="3">
        <f t="shared" si="93"/>
        <v>112</v>
      </c>
      <c r="Q138" s="3" t="str">
        <f t="shared" si="94"/>
        <v>HW</v>
      </c>
      <c r="R138" s="3" t="str">
        <f t="shared" si="95"/>
        <v>HW</v>
      </c>
      <c r="S138" s="3" t="str">
        <f t="shared" si="96"/>
        <v>HW</v>
      </c>
      <c r="T138" s="3" t="str">
        <f t="shared" si="97"/>
        <v>TT</v>
      </c>
      <c r="U138" s="3" t="str">
        <f t="shared" si="98"/>
        <v>O</v>
      </c>
      <c r="V138" s="3" t="str">
        <f t="shared" si="99"/>
        <v>U</v>
      </c>
      <c r="W138" s="3" t="str">
        <f t="shared" si="100"/>
        <v>O</v>
      </c>
      <c r="X138" s="3" t="str">
        <f t="shared" si="101"/>
        <v>O</v>
      </c>
      <c r="Z138" s="3">
        <v>56.5</v>
      </c>
      <c r="AA138" s="3" t="str">
        <f t="shared" si="91"/>
        <v>PHO/BKN</v>
      </c>
    </row>
    <row r="139" spans="1:27" ht="17.100000000000001" x14ac:dyDescent="0.45">
      <c r="A139" s="3">
        <v>191111</v>
      </c>
      <c r="B139" s="1">
        <v>0.45833333333333331</v>
      </c>
      <c r="C139" s="3" t="s">
        <v>172</v>
      </c>
      <c r="D139" s="3" t="s">
        <v>173</v>
      </c>
      <c r="E139" s="3">
        <v>20</v>
      </c>
      <c r="F139" s="3">
        <v>26</v>
      </c>
      <c r="G139" s="3">
        <v>29</v>
      </c>
      <c r="H139" s="3">
        <v>32</v>
      </c>
      <c r="I139" s="3">
        <v>17</v>
      </c>
      <c r="J139" s="3">
        <v>21</v>
      </c>
      <c r="K139" s="3">
        <v>23</v>
      </c>
      <c r="L139" s="3">
        <v>31</v>
      </c>
      <c r="M139" s="3">
        <v>32</v>
      </c>
      <c r="N139" s="3">
        <v>6</v>
      </c>
      <c r="O139" s="3">
        <f t="shared" si="92"/>
        <v>124</v>
      </c>
      <c r="P139" s="3">
        <f t="shared" si="93"/>
        <v>113</v>
      </c>
      <c r="Q139" s="3" t="str">
        <f t="shared" si="94"/>
        <v>HL</v>
      </c>
      <c r="R139" s="3" t="str">
        <f t="shared" si="95"/>
        <v>HW</v>
      </c>
      <c r="S139" s="3" t="str">
        <f t="shared" si="96"/>
        <v>HL</v>
      </c>
      <c r="T139" s="3" t="str">
        <f t="shared" si="97"/>
        <v>TT</v>
      </c>
      <c r="U139" s="3" t="str">
        <f t="shared" si="98"/>
        <v>U</v>
      </c>
      <c r="V139" s="3" t="str">
        <f t="shared" si="99"/>
        <v>U</v>
      </c>
      <c r="W139" s="3" t="str">
        <f t="shared" si="100"/>
        <v>O</v>
      </c>
      <c r="X139" s="3" t="str">
        <f t="shared" si="101"/>
        <v>O</v>
      </c>
      <c r="Z139" s="3">
        <v>58</v>
      </c>
      <c r="AA139" s="3" t="str">
        <f t="shared" si="91"/>
        <v>POR/ATL</v>
      </c>
    </row>
    <row r="140" spans="1:27" ht="17.100000000000001" x14ac:dyDescent="0.45">
      <c r="A140" s="3">
        <v>191111</v>
      </c>
      <c r="B140" s="1">
        <v>0.47916666666666669</v>
      </c>
      <c r="C140" s="3" t="s">
        <v>174</v>
      </c>
      <c r="D140" s="3" t="s">
        <v>175</v>
      </c>
      <c r="E140" s="3">
        <v>30</v>
      </c>
      <c r="F140" s="3">
        <v>30</v>
      </c>
      <c r="G140" s="3">
        <v>18</v>
      </c>
      <c r="H140" s="3">
        <v>26</v>
      </c>
      <c r="I140" s="3"/>
      <c r="J140" s="3">
        <v>29</v>
      </c>
      <c r="K140" s="3">
        <v>23</v>
      </c>
      <c r="L140" s="3">
        <v>26</v>
      </c>
      <c r="M140" s="3">
        <v>35</v>
      </c>
      <c r="N140" s="3"/>
      <c r="O140" s="3">
        <f t="shared" si="92"/>
        <v>104</v>
      </c>
      <c r="P140" s="3">
        <f t="shared" si="93"/>
        <v>113</v>
      </c>
      <c r="Q140" s="3" t="str">
        <f t="shared" si="94"/>
        <v>HW</v>
      </c>
      <c r="R140" s="3" t="str">
        <f t="shared" si="95"/>
        <v>HW</v>
      </c>
      <c r="S140" s="3" t="str">
        <f t="shared" si="96"/>
        <v>HL</v>
      </c>
      <c r="T140" s="3" t="str">
        <f t="shared" si="97"/>
        <v>HL</v>
      </c>
      <c r="U140" s="3" t="str">
        <f t="shared" si="98"/>
        <v>O</v>
      </c>
      <c r="V140" s="3" t="str">
        <f t="shared" si="99"/>
        <v>U</v>
      </c>
      <c r="W140" s="3" t="str">
        <f t="shared" si="100"/>
        <v>U</v>
      </c>
      <c r="X140" s="3" t="str">
        <f t="shared" si="101"/>
        <v>O</v>
      </c>
      <c r="Z140" s="3">
        <v>54.5</v>
      </c>
      <c r="AA140" s="3" t="str">
        <f t="shared" si="91"/>
        <v>LAL/TOR</v>
      </c>
    </row>
    <row r="141" spans="1:27" ht="17.100000000000001" x14ac:dyDescent="0.45">
      <c r="A141" s="3">
        <v>191112</v>
      </c>
      <c r="B141" s="1">
        <v>0.375</v>
      </c>
      <c r="C141" s="3" t="s">
        <v>176</v>
      </c>
      <c r="D141" s="3" t="s">
        <v>163</v>
      </c>
      <c r="E141" s="3">
        <v>26</v>
      </c>
      <c r="F141" s="3">
        <v>25</v>
      </c>
      <c r="G141" s="3">
        <v>30</v>
      </c>
      <c r="H141" s="3">
        <v>33</v>
      </c>
      <c r="I141" s="3"/>
      <c r="J141" s="3">
        <v>41</v>
      </c>
      <c r="K141" s="3">
        <v>25</v>
      </c>
      <c r="L141" s="3">
        <v>26</v>
      </c>
      <c r="M141" s="3">
        <v>28</v>
      </c>
      <c r="N141" s="3"/>
      <c r="O141" s="3">
        <f t="shared" si="92"/>
        <v>114</v>
      </c>
      <c r="P141" s="3">
        <f t="shared" si="93"/>
        <v>120</v>
      </c>
      <c r="Q141" s="3" t="str">
        <f t="shared" si="94"/>
        <v>HL</v>
      </c>
      <c r="R141" s="3" t="str">
        <f t="shared" si="95"/>
        <v>TT</v>
      </c>
      <c r="S141" s="3" t="str">
        <f t="shared" si="96"/>
        <v>HW</v>
      </c>
      <c r="T141" s="3" t="str">
        <f t="shared" si="97"/>
        <v>HW</v>
      </c>
      <c r="U141" s="3" t="str">
        <f t="shared" si="98"/>
        <v>O</v>
      </c>
      <c r="V141" s="3" t="str">
        <f t="shared" si="99"/>
        <v>U</v>
      </c>
      <c r="W141" s="3" t="str">
        <f t="shared" si="100"/>
        <v>U</v>
      </c>
      <c r="X141" s="3" t="str">
        <f t="shared" si="101"/>
        <v>O</v>
      </c>
      <c r="Z141" s="3">
        <v>58</v>
      </c>
      <c r="AA141" s="3" t="str">
        <f t="shared" si="91"/>
        <v>DET/MIN</v>
      </c>
    </row>
    <row r="142" spans="1:27" ht="17.100000000000001" x14ac:dyDescent="0.45">
      <c r="A142" s="3">
        <v>191112</v>
      </c>
      <c r="B142" s="1">
        <v>0.39583333333333331</v>
      </c>
      <c r="C142" s="3" t="s">
        <v>154</v>
      </c>
      <c r="D142" s="3" t="s">
        <v>162</v>
      </c>
      <c r="E142" s="3">
        <v>25</v>
      </c>
      <c r="F142" s="3">
        <v>29</v>
      </c>
      <c r="G142" s="3">
        <v>30</v>
      </c>
      <c r="H142" s="3">
        <v>32</v>
      </c>
      <c r="I142" s="3"/>
      <c r="J142" s="3">
        <v>21</v>
      </c>
      <c r="K142" s="3">
        <v>33</v>
      </c>
      <c r="L142" s="3">
        <v>25</v>
      </c>
      <c r="M142" s="3">
        <v>27</v>
      </c>
      <c r="N142" s="3"/>
      <c r="O142" s="3">
        <f t="shared" si="92"/>
        <v>116</v>
      </c>
      <c r="P142" s="3">
        <f t="shared" si="93"/>
        <v>106</v>
      </c>
      <c r="Q142" s="3" t="str">
        <f t="shared" si="94"/>
        <v>HW</v>
      </c>
      <c r="R142" s="3" t="str">
        <f t="shared" si="95"/>
        <v>HL</v>
      </c>
      <c r="S142" s="3" t="str">
        <f t="shared" si="96"/>
        <v>HW</v>
      </c>
      <c r="T142" s="3" t="str">
        <f t="shared" si="97"/>
        <v>HW</v>
      </c>
      <c r="U142" s="3" t="str">
        <f t="shared" si="98"/>
        <v>U</v>
      </c>
      <c r="V142" s="3" t="str">
        <f t="shared" si="99"/>
        <v>O</v>
      </c>
      <c r="W142" s="3" t="str">
        <f t="shared" si="100"/>
        <v>U</v>
      </c>
      <c r="X142" s="3" t="str">
        <f t="shared" si="101"/>
        <v>O</v>
      </c>
      <c r="Z142" s="3">
        <v>56</v>
      </c>
      <c r="AA142" s="3" t="str">
        <f t="shared" si="91"/>
        <v>BOS/DAL</v>
      </c>
    </row>
    <row r="143" spans="1:27" ht="17.100000000000001" x14ac:dyDescent="0.45">
      <c r="A143" s="3">
        <v>191112</v>
      </c>
      <c r="B143" s="1">
        <v>0.39583333333333331</v>
      </c>
      <c r="C143" s="3" t="s">
        <v>153</v>
      </c>
      <c r="D143" s="3" t="s">
        <v>161</v>
      </c>
      <c r="E143" s="3">
        <v>22</v>
      </c>
      <c r="F143" s="3">
        <v>32</v>
      </c>
      <c r="G143" s="3">
        <v>26</v>
      </c>
      <c r="H143" s="3">
        <v>29</v>
      </c>
      <c r="I143" s="3"/>
      <c r="J143" s="3">
        <v>35</v>
      </c>
      <c r="K143" s="3">
        <v>22</v>
      </c>
      <c r="L143" s="3">
        <v>34</v>
      </c>
      <c r="M143" s="3">
        <v>22</v>
      </c>
      <c r="N143" s="3"/>
      <c r="O143" s="3">
        <f t="shared" si="92"/>
        <v>109</v>
      </c>
      <c r="P143" s="3">
        <f t="shared" si="93"/>
        <v>113</v>
      </c>
      <c r="Q143" s="3" t="str">
        <f t="shared" si="94"/>
        <v>HL</v>
      </c>
      <c r="R143" s="3" t="str">
        <f t="shared" si="95"/>
        <v>HW</v>
      </c>
      <c r="S143" s="3" t="str">
        <f t="shared" si="96"/>
        <v>HL</v>
      </c>
      <c r="T143" s="3" t="str">
        <f t="shared" si="97"/>
        <v>HW</v>
      </c>
      <c r="U143" s="3" t="str">
        <f t="shared" si="98"/>
        <v>O</v>
      </c>
      <c r="V143" s="3" t="str">
        <f t="shared" si="99"/>
        <v>U</v>
      </c>
      <c r="W143" s="3" t="str">
        <f t="shared" si="100"/>
        <v>O</v>
      </c>
      <c r="X143" s="3" t="str">
        <f t="shared" si="101"/>
        <v>U</v>
      </c>
      <c r="Z143" s="3">
        <v>55</v>
      </c>
      <c r="AA143" s="3" t="str">
        <f t="shared" si="91"/>
        <v>SAS/MEM</v>
      </c>
    </row>
    <row r="144" spans="1:27" ht="17.100000000000001" x14ac:dyDescent="0.45">
      <c r="A144" s="3">
        <v>191112</v>
      </c>
      <c r="B144" s="1">
        <v>0.41666666666666669</v>
      </c>
      <c r="C144" s="3" t="s">
        <v>156</v>
      </c>
      <c r="D144" s="3" t="s">
        <v>158</v>
      </c>
      <c r="E144" s="3">
        <v>23</v>
      </c>
      <c r="F144" s="3">
        <v>29</v>
      </c>
      <c r="G144" s="3">
        <v>30</v>
      </c>
      <c r="H144" s="3">
        <v>34</v>
      </c>
      <c r="I144" s="3"/>
      <c r="J144" s="3">
        <v>30</v>
      </c>
      <c r="K144" s="3">
        <v>28</v>
      </c>
      <c r="L144" s="3">
        <v>32</v>
      </c>
      <c r="M144" s="3">
        <v>32</v>
      </c>
      <c r="N144" s="3"/>
      <c r="O144" s="3">
        <f t="shared" si="92"/>
        <v>116</v>
      </c>
      <c r="P144" s="3">
        <f t="shared" si="93"/>
        <v>122</v>
      </c>
      <c r="Q144" s="3" t="str">
        <f t="shared" si="94"/>
        <v>HL</v>
      </c>
      <c r="R144" s="3" t="str">
        <f t="shared" si="95"/>
        <v>HW</v>
      </c>
      <c r="S144" s="3" t="str">
        <f t="shared" si="96"/>
        <v>HL</v>
      </c>
      <c r="T144" s="3" t="str">
        <f t="shared" si="97"/>
        <v>HW</v>
      </c>
      <c r="U144" s="3" t="str">
        <f t="shared" si="98"/>
        <v>U</v>
      </c>
      <c r="V144" s="3" t="str">
        <f t="shared" si="99"/>
        <v>U</v>
      </c>
      <c r="W144" s="3" t="str">
        <f t="shared" si="100"/>
        <v>U</v>
      </c>
      <c r="X144" s="3" t="str">
        <f t="shared" si="101"/>
        <v>O</v>
      </c>
      <c r="Z144" s="3">
        <v>62.5</v>
      </c>
      <c r="AA144" s="3" t="str">
        <f t="shared" si="91"/>
        <v>NO/HOU</v>
      </c>
    </row>
    <row r="145" spans="1:27" ht="17.100000000000001" x14ac:dyDescent="0.45">
      <c r="A145" s="3">
        <v>191112</v>
      </c>
      <c r="B145" s="1">
        <v>0.52083333333333337</v>
      </c>
      <c r="C145" s="3" t="s">
        <v>160</v>
      </c>
      <c r="D145" s="3" t="s">
        <v>177</v>
      </c>
      <c r="E145" s="3">
        <v>30</v>
      </c>
      <c r="F145" s="3">
        <v>24</v>
      </c>
      <c r="G145" s="3">
        <v>31</v>
      </c>
      <c r="H145" s="3">
        <v>23</v>
      </c>
      <c r="I145" s="3"/>
      <c r="J145" s="3">
        <v>34</v>
      </c>
      <c r="K145" s="3">
        <v>35</v>
      </c>
      <c r="L145" s="3">
        <v>28</v>
      </c>
      <c r="M145" s="3">
        <v>25</v>
      </c>
      <c r="N145" s="3"/>
      <c r="O145" s="3">
        <f t="shared" si="92"/>
        <v>108</v>
      </c>
      <c r="P145" s="3">
        <f t="shared" si="93"/>
        <v>122</v>
      </c>
      <c r="Q145" s="3" t="str">
        <f t="shared" si="94"/>
        <v>HL</v>
      </c>
      <c r="R145" s="3" t="str">
        <f t="shared" si="95"/>
        <v>HL</v>
      </c>
      <c r="S145" s="3" t="str">
        <f t="shared" si="96"/>
        <v>HW</v>
      </c>
      <c r="T145" s="3" t="str">
        <f t="shared" si="97"/>
        <v>HL</v>
      </c>
      <c r="U145" s="3" t="str">
        <f t="shared" si="98"/>
        <v>O</v>
      </c>
      <c r="V145" s="3" t="str">
        <f t="shared" si="99"/>
        <v>O</v>
      </c>
      <c r="W145" s="3" t="str">
        <f t="shared" si="100"/>
        <v>O</v>
      </c>
      <c r="X145" s="3" t="str">
        <f t="shared" si="101"/>
        <v>U</v>
      </c>
      <c r="Z145" s="3">
        <v>51.5</v>
      </c>
      <c r="AA145" s="3" t="str">
        <f t="shared" si="91"/>
        <v>GS/UTA</v>
      </c>
    </row>
    <row r="146" spans="1:27" ht="17.100000000000001" x14ac:dyDescent="0.45">
      <c r="A146" s="3">
        <v>191112</v>
      </c>
      <c r="B146" s="1">
        <v>0.52083333333333337</v>
      </c>
      <c r="C146" s="3" t="s">
        <v>178</v>
      </c>
      <c r="D146" s="3" t="s">
        <v>175</v>
      </c>
      <c r="E146" s="3">
        <v>15</v>
      </c>
      <c r="F146" s="3">
        <v>36</v>
      </c>
      <c r="G146" s="3">
        <v>22</v>
      </c>
      <c r="H146" s="3">
        <v>25</v>
      </c>
      <c r="I146" s="3"/>
      <c r="J146" s="3">
        <v>23</v>
      </c>
      <c r="K146" s="3">
        <v>23</v>
      </c>
      <c r="L146" s="3">
        <v>32</v>
      </c>
      <c r="M146" s="3">
        <v>10</v>
      </c>
      <c r="N146" s="3"/>
      <c r="O146" s="3">
        <f t="shared" si="92"/>
        <v>98</v>
      </c>
      <c r="P146" s="3">
        <f t="shared" si="93"/>
        <v>88</v>
      </c>
      <c r="Q146" s="3" t="str">
        <f t="shared" si="94"/>
        <v>HL</v>
      </c>
      <c r="R146" s="3" t="str">
        <f t="shared" si="95"/>
        <v>HW</v>
      </c>
      <c r="S146" s="3" t="str">
        <f t="shared" si="96"/>
        <v>HL</v>
      </c>
      <c r="T146" s="3" t="str">
        <f t="shared" si="97"/>
        <v>HW</v>
      </c>
      <c r="U146" s="3" t="str">
        <f t="shared" si="98"/>
        <v>U</v>
      </c>
      <c r="V146" s="3" t="str">
        <f t="shared" si="99"/>
        <v>O</v>
      </c>
      <c r="W146" s="3" t="str">
        <f t="shared" si="100"/>
        <v>U</v>
      </c>
      <c r="X146" s="3" t="str">
        <f t="shared" si="101"/>
        <v>U</v>
      </c>
      <c r="Z146" s="3">
        <v>57</v>
      </c>
      <c r="AA146" s="3" t="str">
        <f t="shared" si="91"/>
        <v>LAC/TOR</v>
      </c>
    </row>
    <row r="147" spans="1:27" ht="17.100000000000001" x14ac:dyDescent="0.45">
      <c r="A147" s="3">
        <v>191113</v>
      </c>
      <c r="B147" s="1">
        <v>0.375</v>
      </c>
      <c r="C147" s="3" t="s">
        <v>35</v>
      </c>
      <c r="D147" s="3" t="s">
        <v>49</v>
      </c>
      <c r="E147" s="3">
        <v>31</v>
      </c>
      <c r="F147" s="3">
        <v>21</v>
      </c>
      <c r="G147" s="3">
        <v>34</v>
      </c>
      <c r="H147" s="3">
        <v>25</v>
      </c>
      <c r="I147" s="3"/>
      <c r="J147" s="3">
        <v>25</v>
      </c>
      <c r="K147" s="3">
        <v>17</v>
      </c>
      <c r="L147" s="3">
        <v>20</v>
      </c>
      <c r="M147" s="3">
        <v>23</v>
      </c>
      <c r="N147" s="3"/>
      <c r="O147" s="3">
        <f t="shared" ref="O147:O167" si="102">SUM(E147:I147)</f>
        <v>111</v>
      </c>
      <c r="P147" s="3">
        <f t="shared" ref="P147:P167" si="103">SUM(J147:N147)</f>
        <v>85</v>
      </c>
      <c r="Q147" s="3" t="str">
        <f t="shared" ref="Q147:Q167" si="104">IF(E147=J147,"TT",IF(E147&gt;J147,"HW","HL"))</f>
        <v>HW</v>
      </c>
      <c r="R147" s="3" t="str">
        <f t="shared" ref="R147:R167" si="105">IF(F147=K147,"TT",IF(F147&gt;K147,"HW","HL"))</f>
        <v>HW</v>
      </c>
      <c r="S147" s="3" t="str">
        <f t="shared" ref="S147:S167" si="106">IF(G147=L147,"TT",IF(G147&gt;L147,"HW","HL"))</f>
        <v>HW</v>
      </c>
      <c r="T147" s="3" t="str">
        <f t="shared" ref="T147:T167" si="107">IF(H147=M147,"TT",IF(H147&gt;M147,"HW","HL"))</f>
        <v>HW</v>
      </c>
      <c r="U147" s="3" t="str">
        <f t="shared" ref="U147:U167" si="108">IF(SUM(E147,J147)=$Z147,"T",IF(SUM(E147,J147)&gt;$Z147,"O","U"))</f>
        <v>O</v>
      </c>
      <c r="V147" s="3" t="str">
        <f t="shared" ref="V147:V167" si="109">IF(SUM(F147,K147)=$Z147,"T",IF(SUM(F147,K147)&gt;$Z147,"O","U"))</f>
        <v>U</v>
      </c>
      <c r="W147" s="3" t="str">
        <f t="shared" ref="W147:W167" si="110">IF(SUM(G147,L147)=$Z147,"T",IF(SUM(G147,L147)&gt;$Z147,"O","U"))</f>
        <v>U</v>
      </c>
      <c r="X147" s="3" t="str">
        <f t="shared" ref="X147:X167" si="111">IF(SUM(H147,M147)=$Z147,"T",IF(SUM(H147,M147)&gt;$Z147,"O","U"))</f>
        <v>U</v>
      </c>
      <c r="Y147" s="3"/>
      <c r="Z147" s="3">
        <v>54.5</v>
      </c>
      <c r="AA147" s="3" t="str">
        <f t="shared" ref="AA147:AA175" si="112">C147&amp;"/"&amp;D147</f>
        <v>IND/OKC</v>
      </c>
    </row>
    <row r="148" spans="1:27" ht="17.100000000000001" x14ac:dyDescent="0.45">
      <c r="A148" s="3">
        <v>191113</v>
      </c>
      <c r="B148" s="1">
        <v>0.375</v>
      </c>
      <c r="C148" s="3" t="s">
        <v>41</v>
      </c>
      <c r="D148" s="3" t="s">
        <v>40</v>
      </c>
      <c r="E148" s="3">
        <v>24</v>
      </c>
      <c r="F148" s="3">
        <v>30</v>
      </c>
      <c r="G148" s="3">
        <v>28</v>
      </c>
      <c r="H148" s="3">
        <v>16</v>
      </c>
      <c r="I148" s="3"/>
      <c r="J148" s="3">
        <v>21</v>
      </c>
      <c r="K148" s="3">
        <v>27</v>
      </c>
      <c r="L148" s="3">
        <v>30</v>
      </c>
      <c r="M148" s="3">
        <v>19</v>
      </c>
      <c r="N148" s="3"/>
      <c r="O148" s="3">
        <f t="shared" si="102"/>
        <v>98</v>
      </c>
      <c r="P148" s="3">
        <f t="shared" si="103"/>
        <v>97</v>
      </c>
      <c r="Q148" s="3" t="str">
        <f t="shared" si="104"/>
        <v>HW</v>
      </c>
      <c r="R148" s="3" t="str">
        <f t="shared" si="105"/>
        <v>HW</v>
      </c>
      <c r="S148" s="3" t="str">
        <f t="shared" si="106"/>
        <v>HL</v>
      </c>
      <c r="T148" s="3" t="str">
        <f t="shared" si="107"/>
        <v>HL</v>
      </c>
      <c r="U148" s="3" t="str">
        <f t="shared" si="108"/>
        <v>U</v>
      </c>
      <c r="V148" s="3" t="str">
        <f t="shared" si="109"/>
        <v>O</v>
      </c>
      <c r="W148" s="3" t="str">
        <f t="shared" si="110"/>
        <v>O</v>
      </c>
      <c r="X148" s="3" t="str">
        <f t="shared" si="111"/>
        <v>U</v>
      </c>
      <c r="Y148" s="3"/>
      <c r="Z148" s="3">
        <v>53.5</v>
      </c>
      <c r="AA148" s="3" t="str">
        <f t="shared" si="112"/>
        <v>PHI/CLE</v>
      </c>
    </row>
    <row r="149" spans="1:27" ht="17.100000000000001" x14ac:dyDescent="0.45">
      <c r="A149" s="3">
        <v>191113</v>
      </c>
      <c r="B149" s="1">
        <v>0.39583333333333331</v>
      </c>
      <c r="C149" s="3" t="s">
        <v>37</v>
      </c>
      <c r="D149" s="3" t="s">
        <v>36</v>
      </c>
      <c r="E149" s="3">
        <v>28</v>
      </c>
      <c r="F149" s="3">
        <v>31</v>
      </c>
      <c r="G149" s="3">
        <v>33</v>
      </c>
      <c r="H149" s="3">
        <v>25</v>
      </c>
      <c r="I149" s="3"/>
      <c r="J149" s="3">
        <v>17</v>
      </c>
      <c r="K149" s="3">
        <v>20</v>
      </c>
      <c r="L149" s="3">
        <v>35</v>
      </c>
      <c r="M149" s="3">
        <v>36</v>
      </c>
      <c r="N149" s="3"/>
      <c r="O149" s="3">
        <f t="shared" si="102"/>
        <v>117</v>
      </c>
      <c r="P149" s="3">
        <f t="shared" si="103"/>
        <v>108</v>
      </c>
      <c r="Q149" s="3" t="str">
        <f t="shared" si="104"/>
        <v>HW</v>
      </c>
      <c r="R149" s="3" t="str">
        <f t="shared" si="105"/>
        <v>HW</v>
      </c>
      <c r="S149" s="3" t="str">
        <f t="shared" si="106"/>
        <v>HL</v>
      </c>
      <c r="T149" s="3" t="str">
        <f t="shared" si="107"/>
        <v>HL</v>
      </c>
      <c r="U149" s="3" t="str">
        <f t="shared" si="108"/>
        <v>U</v>
      </c>
      <c r="V149" s="3" t="str">
        <f t="shared" si="109"/>
        <v>U</v>
      </c>
      <c r="W149" s="3" t="str">
        <f t="shared" si="110"/>
        <v>O</v>
      </c>
      <c r="X149" s="3" t="str">
        <f t="shared" si="111"/>
        <v>O</v>
      </c>
      <c r="Y149" s="3"/>
      <c r="Z149" s="3">
        <v>55</v>
      </c>
      <c r="AA149" s="3" t="str">
        <f t="shared" si="112"/>
        <v>MIA/DET</v>
      </c>
    </row>
    <row r="150" spans="1:27" ht="17.100000000000001" x14ac:dyDescent="0.45">
      <c r="A150" s="3">
        <v>191113</v>
      </c>
      <c r="B150" s="1">
        <v>0.41666666666666669</v>
      </c>
      <c r="C150" s="3" t="s">
        <v>32</v>
      </c>
      <c r="D150" s="3" t="s">
        <v>47</v>
      </c>
      <c r="E150" s="3">
        <v>30</v>
      </c>
      <c r="F150" s="3">
        <v>30</v>
      </c>
      <c r="G150" s="3">
        <v>25</v>
      </c>
      <c r="H150" s="3">
        <v>35</v>
      </c>
      <c r="I150" s="3"/>
      <c r="J150" s="3">
        <v>22</v>
      </c>
      <c r="K150" s="3">
        <v>32</v>
      </c>
      <c r="L150" s="3">
        <v>31</v>
      </c>
      <c r="M150" s="3">
        <v>17</v>
      </c>
      <c r="N150" s="3"/>
      <c r="O150" s="3">
        <f t="shared" si="102"/>
        <v>120</v>
      </c>
      <c r="P150" s="3">
        <f t="shared" si="103"/>
        <v>102</v>
      </c>
      <c r="Q150" s="3" t="str">
        <f t="shared" si="104"/>
        <v>HW</v>
      </c>
      <c r="R150" s="3" t="str">
        <f t="shared" si="105"/>
        <v>HL</v>
      </c>
      <c r="S150" s="3" t="str">
        <f t="shared" si="106"/>
        <v>HL</v>
      </c>
      <c r="T150" s="3" t="str">
        <f t="shared" si="107"/>
        <v>HW</v>
      </c>
      <c r="U150" s="3" t="str">
        <f t="shared" si="108"/>
        <v>U</v>
      </c>
      <c r="V150" s="3" t="str">
        <f t="shared" si="109"/>
        <v>O</v>
      </c>
      <c r="W150" s="3" t="str">
        <f t="shared" si="110"/>
        <v>O</v>
      </c>
      <c r="X150" s="3" t="str">
        <f t="shared" si="111"/>
        <v>U</v>
      </c>
      <c r="Y150" s="3"/>
      <c r="Z150" s="3">
        <v>54.5</v>
      </c>
      <c r="AA150" s="3" t="str">
        <f t="shared" si="112"/>
        <v>CHI/NYK</v>
      </c>
    </row>
    <row r="151" spans="1:27" ht="17.100000000000001" x14ac:dyDescent="0.45">
      <c r="A151" s="3">
        <v>191113</v>
      </c>
      <c r="B151" s="1">
        <v>0.45833333333333331</v>
      </c>
      <c r="C151" s="3" t="s">
        <v>46</v>
      </c>
      <c r="D151" s="3" t="s">
        <v>50</v>
      </c>
      <c r="E151" s="3">
        <v>34</v>
      </c>
      <c r="F151" s="3">
        <v>20</v>
      </c>
      <c r="G151" s="3">
        <v>35</v>
      </c>
      <c r="H151" s="3">
        <v>32</v>
      </c>
      <c r="I151" s="3"/>
      <c r="J151" s="3">
        <v>25</v>
      </c>
      <c r="K151" s="3">
        <v>38</v>
      </c>
      <c r="L151" s="3">
        <v>35</v>
      </c>
      <c r="M151" s="3">
        <v>27</v>
      </c>
      <c r="N151" s="3"/>
      <c r="O151" s="3">
        <f t="shared" si="102"/>
        <v>121</v>
      </c>
      <c r="P151" s="3">
        <f t="shared" si="103"/>
        <v>125</v>
      </c>
      <c r="Q151" s="3" t="str">
        <f t="shared" si="104"/>
        <v>HW</v>
      </c>
      <c r="R151" s="3" t="str">
        <f t="shared" si="105"/>
        <v>HL</v>
      </c>
      <c r="S151" s="3" t="str">
        <f t="shared" si="106"/>
        <v>TT</v>
      </c>
      <c r="T151" s="3" t="str">
        <f t="shared" si="107"/>
        <v>HW</v>
      </c>
      <c r="U151" s="3" t="str">
        <f t="shared" si="108"/>
        <v>O</v>
      </c>
      <c r="V151" s="3" t="str">
        <f t="shared" si="109"/>
        <v>O</v>
      </c>
      <c r="W151" s="3" t="str">
        <f t="shared" si="110"/>
        <v>O</v>
      </c>
      <c r="X151" s="3" t="str">
        <f t="shared" si="111"/>
        <v>O</v>
      </c>
      <c r="Y151" s="3"/>
      <c r="Z151" s="3">
        <v>53.5</v>
      </c>
      <c r="AA151" s="3" t="str">
        <f t="shared" si="112"/>
        <v>DEN/ATL</v>
      </c>
    </row>
    <row r="152" spans="1:27" ht="17.100000000000001" x14ac:dyDescent="0.45">
      <c r="A152" s="3">
        <v>191113</v>
      </c>
      <c r="B152" s="1">
        <v>0.45833333333333331</v>
      </c>
      <c r="C152" s="3" t="s">
        <v>43</v>
      </c>
      <c r="D152" s="3" t="s">
        <v>26</v>
      </c>
      <c r="E152" s="3">
        <v>29</v>
      </c>
      <c r="F152" s="3">
        <v>29</v>
      </c>
      <c r="G152" s="3">
        <v>34</v>
      </c>
      <c r="H152" s="3">
        <v>23</v>
      </c>
      <c r="I152" s="3"/>
      <c r="J152" s="3">
        <v>26</v>
      </c>
      <c r="K152" s="3">
        <v>34</v>
      </c>
      <c r="L152" s="3">
        <v>35</v>
      </c>
      <c r="M152" s="3">
        <v>28</v>
      </c>
      <c r="N152" s="3"/>
      <c r="O152" s="3">
        <f t="shared" si="102"/>
        <v>115</v>
      </c>
      <c r="P152" s="3">
        <f t="shared" si="103"/>
        <v>123</v>
      </c>
      <c r="Q152" s="3" t="str">
        <f t="shared" si="104"/>
        <v>HW</v>
      </c>
      <c r="R152" s="3" t="str">
        <f t="shared" si="105"/>
        <v>HL</v>
      </c>
      <c r="S152" s="3" t="str">
        <f t="shared" si="106"/>
        <v>HL</v>
      </c>
      <c r="T152" s="3" t="str">
        <f t="shared" si="107"/>
        <v>HL</v>
      </c>
      <c r="U152" s="3" t="str">
        <f t="shared" si="108"/>
        <v>U</v>
      </c>
      <c r="V152" s="3" t="str">
        <f t="shared" si="109"/>
        <v>O</v>
      </c>
      <c r="W152" s="3" t="str">
        <f t="shared" si="110"/>
        <v>O</v>
      </c>
      <c r="X152" s="3" t="str">
        <f t="shared" si="111"/>
        <v>U</v>
      </c>
      <c r="Y152" s="3"/>
      <c r="Z152" s="3">
        <v>56.5</v>
      </c>
      <c r="AA152" s="3" t="str">
        <f t="shared" si="112"/>
        <v>PHO/LAL</v>
      </c>
    </row>
    <row r="153" spans="1:27" ht="17.100000000000001" x14ac:dyDescent="0.45">
      <c r="A153" s="3">
        <v>191113</v>
      </c>
      <c r="B153" s="1">
        <v>0.45833333333333331</v>
      </c>
      <c r="C153" s="3" t="s">
        <v>48</v>
      </c>
      <c r="D153" s="3" t="s">
        <v>30</v>
      </c>
      <c r="E153" s="3">
        <v>29</v>
      </c>
      <c r="F153" s="3">
        <v>24</v>
      </c>
      <c r="G153" s="3">
        <v>31</v>
      </c>
      <c r="H153" s="3">
        <v>35</v>
      </c>
      <c r="I153" s="3"/>
      <c r="J153" s="3">
        <v>35</v>
      </c>
      <c r="K153" s="3">
        <v>33</v>
      </c>
      <c r="L153" s="3">
        <v>24</v>
      </c>
      <c r="M153" s="3">
        <v>22</v>
      </c>
      <c r="N153" s="3"/>
      <c r="O153" s="3">
        <f t="shared" si="102"/>
        <v>119</v>
      </c>
      <c r="P153" s="3">
        <f t="shared" si="103"/>
        <v>114</v>
      </c>
      <c r="Q153" s="3" t="str">
        <f t="shared" si="104"/>
        <v>HL</v>
      </c>
      <c r="R153" s="3" t="str">
        <f t="shared" si="105"/>
        <v>HL</v>
      </c>
      <c r="S153" s="3" t="str">
        <f t="shared" si="106"/>
        <v>HW</v>
      </c>
      <c r="T153" s="3" t="str">
        <f t="shared" si="107"/>
        <v>HW</v>
      </c>
      <c r="U153" s="3" t="str">
        <f t="shared" si="108"/>
        <v>O</v>
      </c>
      <c r="V153" s="3" t="str">
        <f t="shared" si="109"/>
        <v>O</v>
      </c>
      <c r="W153" s="3" t="str">
        <f t="shared" si="110"/>
        <v>O</v>
      </c>
      <c r="X153" s="3" t="str">
        <f t="shared" si="111"/>
        <v>O</v>
      </c>
      <c r="Y153" s="3"/>
      <c r="Z153" s="3">
        <v>53</v>
      </c>
      <c r="AA153" s="3" t="str">
        <f t="shared" si="112"/>
        <v>UTA/BKN</v>
      </c>
    </row>
    <row r="154" spans="1:27" ht="17.100000000000001" x14ac:dyDescent="0.45">
      <c r="A154" s="3">
        <v>191113</v>
      </c>
      <c r="B154" s="1">
        <v>0.5</v>
      </c>
      <c r="C154" s="3" t="s">
        <v>44</v>
      </c>
      <c r="D154" s="3" t="s">
        <v>45</v>
      </c>
      <c r="E154" s="3">
        <v>21</v>
      </c>
      <c r="F154" s="3">
        <v>25</v>
      </c>
      <c r="G154" s="3">
        <v>35</v>
      </c>
      <c r="H154" s="3">
        <v>26</v>
      </c>
      <c r="I154" s="3"/>
      <c r="J154" s="3">
        <v>24</v>
      </c>
      <c r="K154" s="3">
        <v>25</v>
      </c>
      <c r="L154" s="3">
        <v>21</v>
      </c>
      <c r="M154" s="3">
        <v>29</v>
      </c>
      <c r="N154" s="3"/>
      <c r="O154" s="3">
        <f t="shared" si="102"/>
        <v>107</v>
      </c>
      <c r="P154" s="3">
        <f t="shared" si="103"/>
        <v>99</v>
      </c>
      <c r="Q154" s="3" t="str">
        <f t="shared" si="104"/>
        <v>HL</v>
      </c>
      <c r="R154" s="3" t="str">
        <f t="shared" si="105"/>
        <v>TT</v>
      </c>
      <c r="S154" s="3" t="str">
        <f t="shared" si="106"/>
        <v>HW</v>
      </c>
      <c r="T154" s="3" t="str">
        <f t="shared" si="107"/>
        <v>HL</v>
      </c>
      <c r="U154" s="3" t="str">
        <f t="shared" si="108"/>
        <v>U</v>
      </c>
      <c r="V154" s="3" t="str">
        <f t="shared" si="109"/>
        <v>U</v>
      </c>
      <c r="W154" s="3" t="str">
        <f t="shared" si="110"/>
        <v>O</v>
      </c>
      <c r="X154" s="3" t="str">
        <f t="shared" si="111"/>
        <v>O</v>
      </c>
      <c r="Y154" s="3"/>
      <c r="Z154" s="3">
        <v>54.5</v>
      </c>
      <c r="AA154" s="3" t="str">
        <f t="shared" si="112"/>
        <v>SAC/POR</v>
      </c>
    </row>
    <row r="155" spans="1:27" ht="17.100000000000001" x14ac:dyDescent="0.45">
      <c r="A155" s="3">
        <v>191114</v>
      </c>
      <c r="B155" s="1">
        <v>0.375</v>
      </c>
      <c r="C155" s="3" t="s">
        <v>179</v>
      </c>
      <c r="D155" s="3" t="s">
        <v>180</v>
      </c>
      <c r="E155" s="3">
        <v>31</v>
      </c>
      <c r="F155" s="3">
        <v>22</v>
      </c>
      <c r="G155" s="3">
        <v>27</v>
      </c>
      <c r="H155" s="3">
        <v>32</v>
      </c>
      <c r="I155" s="3"/>
      <c r="J155" s="3">
        <v>30</v>
      </c>
      <c r="K155" s="3">
        <v>23</v>
      </c>
      <c r="L155" s="3">
        <v>29</v>
      </c>
      <c r="M155" s="3">
        <v>15</v>
      </c>
      <c r="O155" s="3">
        <f t="shared" si="102"/>
        <v>112</v>
      </c>
      <c r="P155" s="3">
        <f t="shared" si="103"/>
        <v>97</v>
      </c>
      <c r="Q155" s="3" t="str">
        <f t="shared" si="104"/>
        <v>HW</v>
      </c>
      <c r="R155" s="3" t="str">
        <f t="shared" si="105"/>
        <v>HL</v>
      </c>
      <c r="S155" s="3" t="str">
        <f t="shared" si="106"/>
        <v>HL</v>
      </c>
      <c r="T155" s="3" t="str">
        <f t="shared" si="107"/>
        <v>HW</v>
      </c>
      <c r="U155" s="3" t="str">
        <f t="shared" si="108"/>
        <v>O</v>
      </c>
      <c r="V155" s="3" t="str">
        <f t="shared" si="109"/>
        <v>U</v>
      </c>
      <c r="W155" s="3" t="str">
        <f t="shared" si="110"/>
        <v>O</v>
      </c>
      <c r="X155" s="3" t="str">
        <f t="shared" si="111"/>
        <v>U</v>
      </c>
      <c r="Y155" s="3"/>
      <c r="Z155" s="3">
        <v>50.5</v>
      </c>
      <c r="AA155" s="3" t="str">
        <f t="shared" si="112"/>
        <v>ORL/PHI</v>
      </c>
    </row>
    <row r="156" spans="1:27" ht="17.100000000000001" x14ac:dyDescent="0.45">
      <c r="A156" s="3">
        <v>191114</v>
      </c>
      <c r="B156" s="1">
        <v>0.375</v>
      </c>
      <c r="C156" s="3" t="s">
        <v>181</v>
      </c>
      <c r="D156" s="3" t="s">
        <v>182</v>
      </c>
      <c r="E156" s="3">
        <v>29</v>
      </c>
      <c r="F156" s="3">
        <v>35</v>
      </c>
      <c r="G156" s="3">
        <v>32</v>
      </c>
      <c r="H156" s="3">
        <v>21</v>
      </c>
      <c r="I156" s="3"/>
      <c r="J156" s="3">
        <v>26</v>
      </c>
      <c r="K156" s="3">
        <v>37</v>
      </c>
      <c r="L156" s="3">
        <v>31</v>
      </c>
      <c r="M156" s="3">
        <v>25</v>
      </c>
      <c r="O156" s="3">
        <f t="shared" si="102"/>
        <v>117</v>
      </c>
      <c r="P156" s="3">
        <f t="shared" si="103"/>
        <v>119</v>
      </c>
      <c r="Q156" s="3" t="str">
        <f t="shared" si="104"/>
        <v>HW</v>
      </c>
      <c r="R156" s="3" t="str">
        <f t="shared" si="105"/>
        <v>HL</v>
      </c>
      <c r="S156" s="3" t="str">
        <f t="shared" si="106"/>
        <v>HW</v>
      </c>
      <c r="T156" s="3" t="str">
        <f t="shared" si="107"/>
        <v>HL</v>
      </c>
      <c r="U156" s="3" t="str">
        <f t="shared" si="108"/>
        <v>O</v>
      </c>
      <c r="V156" s="3" t="str">
        <f t="shared" si="109"/>
        <v>O</v>
      </c>
      <c r="W156" s="3" t="str">
        <f t="shared" si="110"/>
        <v>O</v>
      </c>
      <c r="X156" s="3" t="str">
        <f t="shared" si="111"/>
        <v>U</v>
      </c>
      <c r="Y156" s="3"/>
      <c r="Z156" s="3">
        <v>54.5</v>
      </c>
      <c r="AA156" s="3" t="str">
        <f t="shared" si="112"/>
        <v>CHA/MEM</v>
      </c>
    </row>
    <row r="157" spans="1:27" ht="17.100000000000001" x14ac:dyDescent="0.45">
      <c r="A157" s="3">
        <v>191114</v>
      </c>
      <c r="B157" s="1">
        <v>0.39583333333333331</v>
      </c>
      <c r="C157" s="3" t="s">
        <v>183</v>
      </c>
      <c r="D157" s="3" t="s">
        <v>184</v>
      </c>
      <c r="E157" s="3">
        <v>34</v>
      </c>
      <c r="F157" s="3">
        <v>34</v>
      </c>
      <c r="G157" s="3">
        <v>34</v>
      </c>
      <c r="H157" s="3">
        <v>38</v>
      </c>
      <c r="I157" s="3"/>
      <c r="J157" s="3">
        <v>34</v>
      </c>
      <c r="K157" s="3">
        <v>32</v>
      </c>
      <c r="L157" s="3">
        <v>30</v>
      </c>
      <c r="M157" s="3">
        <v>37</v>
      </c>
      <c r="O157" s="3">
        <f t="shared" si="102"/>
        <v>140</v>
      </c>
      <c r="P157" s="3">
        <f t="shared" si="103"/>
        <v>133</v>
      </c>
      <c r="Q157" s="3" t="str">
        <f t="shared" si="104"/>
        <v>TT</v>
      </c>
      <c r="R157" s="3" t="str">
        <f t="shared" si="105"/>
        <v>HW</v>
      </c>
      <c r="S157" s="3" t="str">
        <f t="shared" si="106"/>
        <v>HW</v>
      </c>
      <c r="T157" s="3" t="str">
        <f t="shared" si="107"/>
        <v>HW</v>
      </c>
      <c r="U157" s="3" t="str">
        <f t="shared" si="108"/>
        <v>O</v>
      </c>
      <c r="V157" s="3" t="str">
        <f t="shared" si="109"/>
        <v>O</v>
      </c>
      <c r="W157" s="3" t="str">
        <f t="shared" si="110"/>
        <v>O</v>
      </c>
      <c r="X157" s="3" t="str">
        <f t="shared" si="111"/>
        <v>O</v>
      </c>
      <c r="Y157" s="3"/>
      <c r="Z157" s="3">
        <v>58.5</v>
      </c>
      <c r="AA157" s="3" t="str">
        <f t="shared" si="112"/>
        <v>BOS/WAS</v>
      </c>
    </row>
    <row r="158" spans="1:27" ht="17.100000000000001" x14ac:dyDescent="0.45">
      <c r="A158" s="3">
        <v>191114</v>
      </c>
      <c r="B158" s="1">
        <v>0.39583333333333331</v>
      </c>
      <c r="C158" s="3" t="s">
        <v>185</v>
      </c>
      <c r="D158" s="3" t="s">
        <v>186</v>
      </c>
      <c r="E158" s="3">
        <v>31</v>
      </c>
      <c r="F158" s="3">
        <v>18</v>
      </c>
      <c r="G158" s="3">
        <v>25</v>
      </c>
      <c r="H158" s="3">
        <v>28</v>
      </c>
      <c r="I158" s="3"/>
      <c r="J158" s="3">
        <v>15</v>
      </c>
      <c r="K158" s="3">
        <v>22</v>
      </c>
      <c r="L158" s="3">
        <v>31</v>
      </c>
      <c r="M158" s="3">
        <v>25</v>
      </c>
      <c r="O158" s="3">
        <f t="shared" si="102"/>
        <v>102</v>
      </c>
      <c r="P158" s="3">
        <f t="shared" si="103"/>
        <v>93</v>
      </c>
      <c r="Q158" s="3" t="str">
        <f t="shared" si="104"/>
        <v>HW</v>
      </c>
      <c r="R158" s="3" t="str">
        <f t="shared" si="105"/>
        <v>HL</v>
      </c>
      <c r="S158" s="3" t="str">
        <f t="shared" si="106"/>
        <v>HL</v>
      </c>
      <c r="T158" s="3" t="str">
        <f t="shared" si="107"/>
        <v>HW</v>
      </c>
      <c r="U158" s="3" t="str">
        <f t="shared" si="108"/>
        <v>U</v>
      </c>
      <c r="V158" s="3" t="str">
        <f t="shared" si="109"/>
        <v>U</v>
      </c>
      <c r="W158" s="3" t="str">
        <f t="shared" si="110"/>
        <v>U</v>
      </c>
      <c r="X158" s="3" t="str">
        <f t="shared" si="111"/>
        <v>U</v>
      </c>
      <c r="Y158" s="3"/>
      <c r="Z158" s="3">
        <v>60</v>
      </c>
      <c r="AA158" s="3" t="str">
        <f t="shared" si="112"/>
        <v>HOU/LAC</v>
      </c>
    </row>
    <row r="159" spans="1:27" ht="17.100000000000001" x14ac:dyDescent="0.45">
      <c r="A159" s="3">
        <v>191114</v>
      </c>
      <c r="B159" s="1">
        <v>0.41666666666666669</v>
      </c>
      <c r="C159" s="3" t="s">
        <v>187</v>
      </c>
      <c r="D159" s="3" t="s">
        <v>188</v>
      </c>
      <c r="E159" s="3">
        <v>26</v>
      </c>
      <c r="F159" s="3">
        <v>40</v>
      </c>
      <c r="G159" s="3">
        <v>40</v>
      </c>
      <c r="H159" s="3">
        <v>23</v>
      </c>
      <c r="I159" s="3"/>
      <c r="J159" s="3">
        <v>24</v>
      </c>
      <c r="K159" s="3">
        <v>35</v>
      </c>
      <c r="L159" s="3">
        <v>36</v>
      </c>
      <c r="M159" s="3">
        <v>19</v>
      </c>
      <c r="O159" s="3">
        <f t="shared" si="102"/>
        <v>129</v>
      </c>
      <c r="P159" s="3">
        <f t="shared" si="103"/>
        <v>114</v>
      </c>
      <c r="Q159" s="3" t="str">
        <f t="shared" si="104"/>
        <v>HW</v>
      </c>
      <c r="R159" s="3" t="str">
        <f t="shared" si="105"/>
        <v>HW</v>
      </c>
      <c r="S159" s="3" t="str">
        <f t="shared" si="106"/>
        <v>HW</v>
      </c>
      <c r="T159" s="3" t="str">
        <f t="shared" si="107"/>
        <v>HW</v>
      </c>
      <c r="U159" s="3" t="str">
        <f t="shared" si="108"/>
        <v>U</v>
      </c>
      <c r="V159" s="3" t="str">
        <f t="shared" si="109"/>
        <v>O</v>
      </c>
      <c r="W159" s="3" t="str">
        <f t="shared" si="110"/>
        <v>O</v>
      </c>
      <c r="X159" s="3" t="str">
        <f t="shared" si="111"/>
        <v>U</v>
      </c>
      <c r="Y159" s="3"/>
      <c r="Z159" s="3">
        <v>55.5</v>
      </c>
      <c r="AA159" s="3" t="str">
        <f t="shared" si="112"/>
        <v>MIN/SAS</v>
      </c>
    </row>
    <row r="160" spans="1:27" ht="17.100000000000001" x14ac:dyDescent="0.45">
      <c r="A160" s="3">
        <v>191114</v>
      </c>
      <c r="B160" s="1">
        <v>0.5</v>
      </c>
      <c r="C160" s="3" t="s">
        <v>189</v>
      </c>
      <c r="D160" s="3" t="s">
        <v>190</v>
      </c>
      <c r="E160" s="3">
        <v>38</v>
      </c>
      <c r="F160" s="3">
        <v>29</v>
      </c>
      <c r="G160" s="3">
        <v>31</v>
      </c>
      <c r="H160" s="3">
        <v>22</v>
      </c>
      <c r="I160" s="3"/>
      <c r="J160" s="3">
        <v>26</v>
      </c>
      <c r="K160" s="3">
        <v>29</v>
      </c>
      <c r="L160" s="3">
        <v>27</v>
      </c>
      <c r="M160" s="3">
        <v>12</v>
      </c>
      <c r="O160" s="3">
        <f t="shared" si="102"/>
        <v>120</v>
      </c>
      <c r="P160" s="3">
        <f t="shared" si="103"/>
        <v>94</v>
      </c>
      <c r="Q160" s="3" t="str">
        <f t="shared" si="104"/>
        <v>HW</v>
      </c>
      <c r="R160" s="3" t="str">
        <f t="shared" si="105"/>
        <v>TT</v>
      </c>
      <c r="S160" s="3" t="str">
        <f t="shared" si="106"/>
        <v>HW</v>
      </c>
      <c r="T160" s="3" t="str">
        <f t="shared" si="107"/>
        <v>HW</v>
      </c>
      <c r="U160" s="3" t="str">
        <f t="shared" si="108"/>
        <v>O</v>
      </c>
      <c r="V160" s="3" t="str">
        <f t="shared" si="109"/>
        <v>O</v>
      </c>
      <c r="W160" s="3" t="str">
        <f t="shared" si="110"/>
        <v>O</v>
      </c>
      <c r="X160" s="3" t="str">
        <f t="shared" si="111"/>
        <v>U</v>
      </c>
      <c r="Y160" s="3"/>
      <c r="Z160" s="3">
        <v>56</v>
      </c>
      <c r="AA160" s="3" t="str">
        <f t="shared" si="112"/>
        <v>LAL/GS</v>
      </c>
    </row>
    <row r="161" spans="1:27" ht="17.100000000000001" x14ac:dyDescent="0.45">
      <c r="A161" s="3">
        <v>191114</v>
      </c>
      <c r="B161" s="1">
        <v>0.5</v>
      </c>
      <c r="C161" s="3" t="s">
        <v>191</v>
      </c>
      <c r="D161" s="3" t="s">
        <v>192</v>
      </c>
      <c r="E161" s="3">
        <v>30</v>
      </c>
      <c r="F161" s="3">
        <v>23</v>
      </c>
      <c r="G161" s="3">
        <v>25</v>
      </c>
      <c r="H161" s="3">
        <v>28</v>
      </c>
      <c r="I161" s="3"/>
      <c r="J161" s="3">
        <v>23</v>
      </c>
      <c r="K161" s="3">
        <v>31</v>
      </c>
      <c r="L161" s="3">
        <v>33</v>
      </c>
      <c r="M161" s="3">
        <v>27</v>
      </c>
      <c r="O161" s="3">
        <f t="shared" si="102"/>
        <v>106</v>
      </c>
      <c r="P161" s="3">
        <f t="shared" si="103"/>
        <v>114</v>
      </c>
      <c r="Q161" s="3" t="str">
        <f t="shared" si="104"/>
        <v>HW</v>
      </c>
      <c r="R161" s="3" t="str">
        <f t="shared" si="105"/>
        <v>HL</v>
      </c>
      <c r="S161" s="3" t="str">
        <f t="shared" si="106"/>
        <v>HL</v>
      </c>
      <c r="T161" s="3" t="str">
        <f t="shared" si="107"/>
        <v>HW</v>
      </c>
      <c r="U161" s="3" t="str">
        <f t="shared" si="108"/>
        <v>U</v>
      </c>
      <c r="V161" s="3" t="str">
        <f t="shared" si="109"/>
        <v>U</v>
      </c>
      <c r="W161" s="3" t="str">
        <f t="shared" si="110"/>
        <v>O</v>
      </c>
      <c r="X161" s="3" t="str">
        <f t="shared" si="111"/>
        <v>U</v>
      </c>
      <c r="Y161" s="3"/>
      <c r="Z161" s="3">
        <v>56.5</v>
      </c>
      <c r="AA161" s="3" t="str">
        <f t="shared" si="112"/>
        <v>POR/TOR</v>
      </c>
    </row>
    <row r="162" spans="1:27" ht="17.100000000000001" x14ac:dyDescent="0.45">
      <c r="A162" s="12">
        <v>191115</v>
      </c>
      <c r="B162" s="1">
        <v>0.33333333333333331</v>
      </c>
      <c r="C162" s="12" t="s">
        <v>193</v>
      </c>
      <c r="D162" s="12" t="s">
        <v>194</v>
      </c>
      <c r="E162" s="12">
        <v>22</v>
      </c>
      <c r="F162" s="12">
        <v>22</v>
      </c>
      <c r="G162" s="12">
        <v>30</v>
      </c>
      <c r="H162" s="12">
        <v>23</v>
      </c>
      <c r="I162" s="12"/>
      <c r="J162" s="12">
        <v>34</v>
      </c>
      <c r="K162" s="12">
        <v>34</v>
      </c>
      <c r="L162" s="12">
        <v>26</v>
      </c>
      <c r="M162" s="12">
        <v>14</v>
      </c>
      <c r="N162" s="12"/>
      <c r="O162" s="3">
        <f t="shared" si="102"/>
        <v>97</v>
      </c>
      <c r="P162" s="3">
        <f t="shared" si="103"/>
        <v>108</v>
      </c>
      <c r="Q162" s="3" t="str">
        <f t="shared" si="104"/>
        <v>HL</v>
      </c>
      <c r="R162" s="3" t="str">
        <f t="shared" si="105"/>
        <v>HL</v>
      </c>
      <c r="S162" s="3" t="str">
        <f t="shared" si="106"/>
        <v>HW</v>
      </c>
      <c r="T162" s="3" t="str">
        <f t="shared" si="107"/>
        <v>HW</v>
      </c>
      <c r="U162" s="3" t="str">
        <f t="shared" si="108"/>
        <v>O</v>
      </c>
      <c r="V162" s="3" t="str">
        <f t="shared" si="109"/>
        <v>O</v>
      </c>
      <c r="W162" s="3" t="str">
        <f t="shared" si="110"/>
        <v>O</v>
      </c>
      <c r="X162" s="3" t="str">
        <f t="shared" si="111"/>
        <v>U</v>
      </c>
      <c r="Y162" s="3"/>
      <c r="Z162" s="12">
        <v>55.5</v>
      </c>
      <c r="AA162" s="3" t="str">
        <f t="shared" si="112"/>
        <v>CLE/MIA</v>
      </c>
    </row>
    <row r="163" spans="1:27" ht="17.100000000000001" x14ac:dyDescent="0.45">
      <c r="A163" s="12">
        <v>191115</v>
      </c>
      <c r="B163" s="1">
        <v>0.41666666666666669</v>
      </c>
      <c r="C163" s="12" t="s">
        <v>27</v>
      </c>
      <c r="D163" s="12" t="s">
        <v>25</v>
      </c>
      <c r="E163" s="12">
        <v>34</v>
      </c>
      <c r="F163" s="12">
        <v>38</v>
      </c>
      <c r="G163" s="12">
        <v>24</v>
      </c>
      <c r="H163" s="12">
        <v>36</v>
      </c>
      <c r="I163" s="12"/>
      <c r="J163" s="12">
        <v>35</v>
      </c>
      <c r="K163" s="12">
        <v>24</v>
      </c>
      <c r="L163" s="12">
        <v>38</v>
      </c>
      <c r="M163" s="12">
        <v>30</v>
      </c>
      <c r="N163" s="12"/>
      <c r="O163" s="3">
        <f t="shared" si="102"/>
        <v>132</v>
      </c>
      <c r="P163" s="3">
        <f t="shared" si="103"/>
        <v>127</v>
      </c>
      <c r="Q163" s="3" t="str">
        <f t="shared" si="104"/>
        <v>HL</v>
      </c>
      <c r="R163" s="3" t="str">
        <f t="shared" si="105"/>
        <v>HW</v>
      </c>
      <c r="S163" s="3" t="str">
        <f t="shared" si="106"/>
        <v>HL</v>
      </c>
      <c r="T163" s="3" t="str">
        <f t="shared" si="107"/>
        <v>HW</v>
      </c>
      <c r="U163" s="3" t="str">
        <f t="shared" si="108"/>
        <v>O</v>
      </c>
      <c r="V163" s="3" t="str">
        <f t="shared" si="109"/>
        <v>O</v>
      </c>
      <c r="W163" s="3" t="str">
        <f t="shared" si="110"/>
        <v>O</v>
      </c>
      <c r="X163" s="3" t="str">
        <f t="shared" si="111"/>
        <v>O</v>
      </c>
      <c r="Y163" s="3"/>
      <c r="Z163" s="12">
        <v>60</v>
      </c>
      <c r="AA163" s="3" t="str">
        <f t="shared" si="112"/>
        <v>NO/LAC</v>
      </c>
    </row>
    <row r="164" spans="1:27" ht="17.100000000000001" x14ac:dyDescent="0.45">
      <c r="A164" s="12">
        <v>191115</v>
      </c>
      <c r="B164" s="1">
        <v>0.41666666666666669</v>
      </c>
      <c r="C164" s="12" t="s">
        <v>53</v>
      </c>
      <c r="D164" s="12" t="s">
        <v>195</v>
      </c>
      <c r="E164" s="12">
        <v>30</v>
      </c>
      <c r="F164" s="12">
        <v>35</v>
      </c>
      <c r="G164" s="12">
        <v>32</v>
      </c>
      <c r="H164" s="12">
        <v>27</v>
      </c>
      <c r="I164" s="12"/>
      <c r="J164" s="12">
        <v>32</v>
      </c>
      <c r="K164" s="12">
        <v>34</v>
      </c>
      <c r="L164" s="12">
        <v>20</v>
      </c>
      <c r="M164" s="12">
        <v>29</v>
      </c>
      <c r="N164" s="12"/>
      <c r="O164" s="3">
        <f t="shared" si="102"/>
        <v>124</v>
      </c>
      <c r="P164" s="3">
        <f t="shared" si="103"/>
        <v>115</v>
      </c>
      <c r="Q164" s="3" t="str">
        <f t="shared" si="104"/>
        <v>HL</v>
      </c>
      <c r="R164" s="3" t="str">
        <f t="shared" si="105"/>
        <v>HW</v>
      </c>
      <c r="S164" s="3" t="str">
        <f t="shared" si="106"/>
        <v>HW</v>
      </c>
      <c r="T164" s="3" t="str">
        <f t="shared" si="107"/>
        <v>HL</v>
      </c>
      <c r="U164" s="3" t="str">
        <f t="shared" si="108"/>
        <v>O</v>
      </c>
      <c r="V164" s="3" t="str">
        <f t="shared" si="109"/>
        <v>O</v>
      </c>
      <c r="W164" s="3" t="str">
        <f t="shared" si="110"/>
        <v>U</v>
      </c>
      <c r="X164" s="3" t="str">
        <f t="shared" si="111"/>
        <v>T</v>
      </c>
      <c r="Y164" s="3"/>
      <c r="Z164" s="12">
        <v>56</v>
      </c>
      <c r="AA164" s="3" t="str">
        <f t="shared" si="112"/>
        <v>MIL/CHI</v>
      </c>
    </row>
    <row r="165" spans="1:27" ht="17.100000000000001" x14ac:dyDescent="0.45">
      <c r="A165" s="12">
        <v>191115</v>
      </c>
      <c r="B165" s="1">
        <v>0.41666666666666669</v>
      </c>
      <c r="C165" s="12" t="s">
        <v>47</v>
      </c>
      <c r="D165" s="12" t="s">
        <v>33</v>
      </c>
      <c r="E165" s="12">
        <v>27</v>
      </c>
      <c r="F165" s="12">
        <v>31</v>
      </c>
      <c r="G165" s="12">
        <v>29</v>
      </c>
      <c r="H165" s="12">
        <v>19</v>
      </c>
      <c r="I165" s="12"/>
      <c r="J165" s="12">
        <v>23</v>
      </c>
      <c r="K165" s="12">
        <v>30</v>
      </c>
      <c r="L165" s="12">
        <v>34</v>
      </c>
      <c r="M165" s="12">
        <v>16</v>
      </c>
      <c r="N165" s="12"/>
      <c r="O165" s="3">
        <f t="shared" si="102"/>
        <v>106</v>
      </c>
      <c r="P165" s="3">
        <f t="shared" si="103"/>
        <v>103</v>
      </c>
      <c r="Q165" s="3" t="str">
        <f t="shared" si="104"/>
        <v>HW</v>
      </c>
      <c r="R165" s="3" t="str">
        <f t="shared" si="105"/>
        <v>HW</v>
      </c>
      <c r="S165" s="3" t="str">
        <f t="shared" si="106"/>
        <v>HL</v>
      </c>
      <c r="T165" s="3" t="str">
        <f t="shared" si="107"/>
        <v>HW</v>
      </c>
      <c r="U165" s="3" t="str">
        <f t="shared" si="108"/>
        <v>U</v>
      </c>
      <c r="V165" s="3" t="str">
        <f t="shared" si="109"/>
        <v>O</v>
      </c>
      <c r="W165" s="3" t="str">
        <f t="shared" si="110"/>
        <v>O</v>
      </c>
      <c r="X165" s="3" t="str">
        <f t="shared" si="111"/>
        <v>U</v>
      </c>
      <c r="Y165" s="3"/>
      <c r="Z165" s="12">
        <v>55.5</v>
      </c>
      <c r="AA165" s="3" t="str">
        <f t="shared" si="112"/>
        <v>NYK/DAL</v>
      </c>
    </row>
    <row r="166" spans="1:27" ht="17.100000000000001" x14ac:dyDescent="0.45">
      <c r="A166" s="12">
        <v>191115</v>
      </c>
      <c r="B166" s="1">
        <v>0.45833333333333331</v>
      </c>
      <c r="C166" s="12" t="s">
        <v>196</v>
      </c>
      <c r="D166" s="12" t="s">
        <v>50</v>
      </c>
      <c r="E166" s="12">
        <v>31</v>
      </c>
      <c r="F166" s="12">
        <v>36</v>
      </c>
      <c r="G166" s="12">
        <v>37</v>
      </c>
      <c r="H166" s="12">
        <v>24</v>
      </c>
      <c r="I166" s="12"/>
      <c r="J166" s="12">
        <v>33</v>
      </c>
      <c r="K166" s="12">
        <v>28</v>
      </c>
      <c r="L166" s="12">
        <v>29</v>
      </c>
      <c r="M166" s="12">
        <v>22</v>
      </c>
      <c r="N166" s="12"/>
      <c r="O166" s="3">
        <f t="shared" si="102"/>
        <v>128</v>
      </c>
      <c r="P166" s="3">
        <f t="shared" si="103"/>
        <v>112</v>
      </c>
      <c r="Q166" s="3" t="str">
        <f t="shared" si="104"/>
        <v>HL</v>
      </c>
      <c r="R166" s="3" t="str">
        <f t="shared" si="105"/>
        <v>HW</v>
      </c>
      <c r="S166" s="3" t="str">
        <f t="shared" si="106"/>
        <v>HW</v>
      </c>
      <c r="T166" s="3" t="str">
        <f t="shared" si="107"/>
        <v>HW</v>
      </c>
      <c r="U166" s="3" t="str">
        <f t="shared" si="108"/>
        <v>O</v>
      </c>
      <c r="V166" s="3" t="str">
        <f t="shared" si="109"/>
        <v>O</v>
      </c>
      <c r="W166" s="3" t="str">
        <f t="shared" si="110"/>
        <v>O</v>
      </c>
      <c r="X166" s="3" t="str">
        <f t="shared" si="111"/>
        <v>U</v>
      </c>
      <c r="Y166" s="3"/>
      <c r="Z166" s="12">
        <v>59</v>
      </c>
      <c r="AA166" s="3" t="str">
        <f t="shared" si="112"/>
        <v>PHO/ATL</v>
      </c>
    </row>
    <row r="167" spans="1:27" ht="17.100000000000001" x14ac:dyDescent="0.45">
      <c r="A167" s="12">
        <v>191115</v>
      </c>
      <c r="B167" s="1">
        <v>0.52083333333333337</v>
      </c>
      <c r="C167" s="12" t="s">
        <v>46</v>
      </c>
      <c r="D167" s="12" t="s">
        <v>30</v>
      </c>
      <c r="E167" s="12">
        <v>28</v>
      </c>
      <c r="F167" s="12">
        <v>21</v>
      </c>
      <c r="G167" s="12">
        <v>30</v>
      </c>
      <c r="H167" s="12">
        <v>22</v>
      </c>
      <c r="I167" s="12"/>
      <c r="J167" s="12">
        <v>35</v>
      </c>
      <c r="K167" s="12">
        <v>26</v>
      </c>
      <c r="L167" s="12">
        <v>18</v>
      </c>
      <c r="M167" s="12">
        <v>14</v>
      </c>
      <c r="N167" s="12"/>
      <c r="O167" s="3">
        <f t="shared" si="102"/>
        <v>101</v>
      </c>
      <c r="P167" s="3">
        <f t="shared" si="103"/>
        <v>93</v>
      </c>
      <c r="Q167" s="3" t="str">
        <f t="shared" si="104"/>
        <v>HL</v>
      </c>
      <c r="R167" s="3" t="str">
        <f t="shared" si="105"/>
        <v>HL</v>
      </c>
      <c r="S167" s="3" t="str">
        <f t="shared" si="106"/>
        <v>HW</v>
      </c>
      <c r="T167" s="3" t="str">
        <f t="shared" si="107"/>
        <v>HW</v>
      </c>
      <c r="U167" s="3" t="str">
        <f t="shared" si="108"/>
        <v>O</v>
      </c>
      <c r="V167" s="3" t="str">
        <f t="shared" si="109"/>
        <v>U</v>
      </c>
      <c r="W167" s="3" t="str">
        <f t="shared" si="110"/>
        <v>U</v>
      </c>
      <c r="X167" s="3" t="str">
        <f t="shared" si="111"/>
        <v>U</v>
      </c>
      <c r="Y167" s="3"/>
      <c r="Z167" s="12">
        <v>54.5</v>
      </c>
      <c r="AA167" s="3" t="str">
        <f t="shared" si="112"/>
        <v>DEN/BKN</v>
      </c>
    </row>
    <row r="168" spans="1:27" ht="17.100000000000001" x14ac:dyDescent="0.45">
      <c r="A168" s="12">
        <v>191116</v>
      </c>
      <c r="B168" s="1">
        <v>0.375</v>
      </c>
      <c r="C168" s="12" t="s">
        <v>197</v>
      </c>
      <c r="D168" s="12" t="s">
        <v>198</v>
      </c>
      <c r="E168" s="12">
        <v>24</v>
      </c>
      <c r="F168" s="12">
        <v>23</v>
      </c>
      <c r="G168" s="12">
        <v>32</v>
      </c>
      <c r="H168" s="12">
        <v>32</v>
      </c>
      <c r="I168" s="12"/>
      <c r="J168" s="12">
        <v>31</v>
      </c>
      <c r="K168" s="12">
        <v>25</v>
      </c>
      <c r="L168" s="12">
        <v>26</v>
      </c>
      <c r="M168" s="12">
        <v>27</v>
      </c>
      <c r="N168" s="12"/>
      <c r="O168" s="12">
        <f t="shared" ref="O168:O175" si="113">SUM(E168:I168)</f>
        <v>111</v>
      </c>
      <c r="P168" s="12">
        <f t="shared" ref="P168:P175" si="114">SUM(J168:N168)</f>
        <v>109</v>
      </c>
      <c r="Q168" s="12" t="str">
        <f t="shared" ref="Q168:Q175" si="115">IF(E168=J168,"TT",IF(E168&gt;J168,"HW","HL"))</f>
        <v>HL</v>
      </c>
      <c r="R168" s="12" t="str">
        <f t="shared" ref="R168:R175" si="116">IF(F168=K168,"TT",IF(F168&gt;K168,"HW","HL"))</f>
        <v>HL</v>
      </c>
      <c r="S168" s="12" t="str">
        <f t="shared" ref="S168:S175" si="117">IF(G168=L168,"TT",IF(G168&gt;L168,"HW","HL"))</f>
        <v>HW</v>
      </c>
      <c r="T168" s="12" t="str">
        <f t="shared" ref="T168:T175" si="118">IF(H168=M168,"TT",IF(H168&gt;M168,"HW","HL"))</f>
        <v>HW</v>
      </c>
      <c r="U168" s="12" t="str">
        <f t="shared" ref="U168:U175" si="119">IF(SUM(E168,J168)=$Z168,"T",IF(SUM(E168,J168)&gt;$Z168,"O","U"))</f>
        <v>O</v>
      </c>
      <c r="V168" s="12" t="str">
        <f t="shared" ref="V168:V175" si="120">IF(SUM(F168,K168)=$Z168,"T",IF(SUM(F168,K168)&gt;$Z168,"O","U"))</f>
        <v>U</v>
      </c>
      <c r="W168" s="12" t="str">
        <f t="shared" ref="W168:W175" si="121">IF(SUM(G168,L168)=$Z168,"T",IF(SUM(G168,L168)&gt;$Z168,"O","U"))</f>
        <v>O</v>
      </c>
      <c r="X168" s="12" t="str">
        <f t="shared" ref="X168:X202" si="122">IF(SUM(H168,M168)=$Z168,"T",IF(SUM(H168,M168)&gt;$Z168,"O","U"))</f>
        <v>O</v>
      </c>
      <c r="Z168" s="12">
        <v>52</v>
      </c>
      <c r="AA168" s="12" t="str">
        <f t="shared" si="112"/>
        <v>ORL/SAS</v>
      </c>
    </row>
    <row r="169" spans="1:27" ht="17.100000000000001" x14ac:dyDescent="0.45">
      <c r="A169" s="12">
        <v>191116</v>
      </c>
      <c r="B169" s="1">
        <v>0.375</v>
      </c>
      <c r="C169" s="12" t="s">
        <v>199</v>
      </c>
      <c r="D169" s="12" t="s">
        <v>200</v>
      </c>
      <c r="E169" s="12">
        <v>25</v>
      </c>
      <c r="F169" s="12">
        <v>26</v>
      </c>
      <c r="G169" s="12">
        <v>32</v>
      </c>
      <c r="H169" s="12">
        <v>26</v>
      </c>
      <c r="I169" s="12"/>
      <c r="J169" s="12">
        <v>35</v>
      </c>
      <c r="K169" s="12">
        <v>30</v>
      </c>
      <c r="L169" s="12">
        <v>18</v>
      </c>
      <c r="M169" s="12">
        <v>23</v>
      </c>
      <c r="N169" s="12"/>
      <c r="O169" s="12">
        <f t="shared" si="113"/>
        <v>109</v>
      </c>
      <c r="P169" s="12">
        <f t="shared" si="114"/>
        <v>106</v>
      </c>
      <c r="Q169" s="12" t="str">
        <f t="shared" si="115"/>
        <v>HL</v>
      </c>
      <c r="R169" s="12" t="str">
        <f t="shared" si="116"/>
        <v>HL</v>
      </c>
      <c r="S169" s="12" t="str">
        <f t="shared" si="117"/>
        <v>HW</v>
      </c>
      <c r="T169" s="12" t="str">
        <f t="shared" si="118"/>
        <v>HW</v>
      </c>
      <c r="U169" s="12" t="str">
        <f t="shared" si="119"/>
        <v>O</v>
      </c>
      <c r="V169" s="12" t="str">
        <f t="shared" si="120"/>
        <v>U</v>
      </c>
      <c r="W169" s="12" t="str">
        <f t="shared" si="121"/>
        <v>U</v>
      </c>
      <c r="X169" s="12" t="str">
        <f t="shared" si="122"/>
        <v>U</v>
      </c>
      <c r="Z169" s="12">
        <v>56.5</v>
      </c>
      <c r="AA169" s="12" t="str">
        <f t="shared" si="112"/>
        <v>CHA/DET</v>
      </c>
    </row>
    <row r="170" spans="1:27" ht="17.100000000000001" x14ac:dyDescent="0.45">
      <c r="A170" s="12">
        <v>191116</v>
      </c>
      <c r="B170" s="1">
        <v>0.41666666666666669</v>
      </c>
      <c r="C170" s="12" t="s">
        <v>201</v>
      </c>
      <c r="D170" s="12" t="s">
        <v>202</v>
      </c>
      <c r="E170" s="12">
        <v>26</v>
      </c>
      <c r="F170" s="12">
        <v>28</v>
      </c>
      <c r="G170" s="12">
        <v>26</v>
      </c>
      <c r="H170" s="12">
        <v>31</v>
      </c>
      <c r="I170" s="12"/>
      <c r="J170" s="12">
        <v>22</v>
      </c>
      <c r="K170" s="12">
        <v>27</v>
      </c>
      <c r="L170" s="12">
        <v>30</v>
      </c>
      <c r="M170" s="12">
        <v>23</v>
      </c>
      <c r="N170" s="12"/>
      <c r="O170" s="12">
        <f t="shared" si="113"/>
        <v>111</v>
      </c>
      <c r="P170" s="12">
        <f t="shared" si="114"/>
        <v>102</v>
      </c>
      <c r="Q170" s="12" t="str">
        <f t="shared" si="115"/>
        <v>HW</v>
      </c>
      <c r="R170" s="12" t="str">
        <f t="shared" si="116"/>
        <v>HW</v>
      </c>
      <c r="S170" s="12" t="str">
        <f t="shared" si="117"/>
        <v>HL</v>
      </c>
      <c r="T170" s="12" t="str">
        <f t="shared" si="118"/>
        <v>HW</v>
      </c>
      <c r="U170" s="12" t="str">
        <f t="shared" si="119"/>
        <v>U</v>
      </c>
      <c r="V170" s="12" t="str">
        <f t="shared" si="120"/>
        <v>U</v>
      </c>
      <c r="W170" s="12" t="str">
        <f t="shared" si="121"/>
        <v>U</v>
      </c>
      <c r="X170" s="12" t="str">
        <f t="shared" si="122"/>
        <v>U</v>
      </c>
      <c r="Z170" s="12">
        <v>58.5</v>
      </c>
      <c r="AA170" s="12" t="str">
        <f t="shared" si="112"/>
        <v>HOU/IND</v>
      </c>
    </row>
    <row r="171" spans="1:27" ht="17.100000000000001" x14ac:dyDescent="0.45">
      <c r="A171" s="12">
        <v>191116</v>
      </c>
      <c r="B171" s="1">
        <v>0.41666666666666669</v>
      </c>
      <c r="C171" s="12" t="s">
        <v>203</v>
      </c>
      <c r="D171" s="12" t="s">
        <v>204</v>
      </c>
      <c r="E171" s="12">
        <v>30</v>
      </c>
      <c r="F171" s="12">
        <v>43</v>
      </c>
      <c r="G171" s="12">
        <v>19</v>
      </c>
      <c r="H171" s="12">
        <v>24</v>
      </c>
      <c r="I171" s="12"/>
      <c r="J171" s="12">
        <v>39</v>
      </c>
      <c r="K171" s="12">
        <v>37</v>
      </c>
      <c r="L171" s="12">
        <v>26</v>
      </c>
      <c r="M171" s="12">
        <v>35</v>
      </c>
      <c r="N171" s="12"/>
      <c r="O171" s="12">
        <f t="shared" si="113"/>
        <v>116</v>
      </c>
      <c r="P171" s="12">
        <f t="shared" si="114"/>
        <v>137</v>
      </c>
      <c r="Q171" s="12" t="str">
        <f t="shared" si="115"/>
        <v>HL</v>
      </c>
      <c r="R171" s="12" t="str">
        <f t="shared" si="116"/>
        <v>HW</v>
      </c>
      <c r="S171" s="12" t="str">
        <f t="shared" si="117"/>
        <v>HL</v>
      </c>
      <c r="T171" s="12" t="str">
        <f t="shared" si="118"/>
        <v>HL</v>
      </c>
      <c r="U171" s="12" t="str">
        <f t="shared" si="119"/>
        <v>O</v>
      </c>
      <c r="V171" s="12" t="str">
        <f t="shared" si="120"/>
        <v>O</v>
      </c>
      <c r="W171" s="12" t="str">
        <f t="shared" si="121"/>
        <v>U</v>
      </c>
      <c r="X171" s="12" t="str">
        <f t="shared" si="122"/>
        <v>U</v>
      </c>
      <c r="Z171" s="12">
        <v>61.5</v>
      </c>
      <c r="AA171" s="12" t="str">
        <f t="shared" si="112"/>
        <v>MIN/WAS</v>
      </c>
    </row>
    <row r="172" spans="1:27" ht="17.100000000000001" x14ac:dyDescent="0.45">
      <c r="A172" s="12">
        <v>191116</v>
      </c>
      <c r="B172" s="1">
        <v>0.41666666666666669</v>
      </c>
      <c r="C172" s="12" t="s">
        <v>205</v>
      </c>
      <c r="D172" s="12" t="s">
        <v>206</v>
      </c>
      <c r="E172" s="12">
        <v>24</v>
      </c>
      <c r="F172" s="12">
        <v>30</v>
      </c>
      <c r="G172" s="12">
        <v>26</v>
      </c>
      <c r="H172" s="12">
        <v>27</v>
      </c>
      <c r="I172" s="12">
        <v>20</v>
      </c>
      <c r="J172" s="12">
        <v>29</v>
      </c>
      <c r="K172" s="12">
        <v>20</v>
      </c>
      <c r="L172" s="12">
        <v>34</v>
      </c>
      <c r="M172" s="12">
        <v>24</v>
      </c>
      <c r="N172" s="12">
        <v>12</v>
      </c>
      <c r="O172" s="12">
        <f t="shared" si="113"/>
        <v>127</v>
      </c>
      <c r="P172" s="12">
        <f t="shared" si="114"/>
        <v>119</v>
      </c>
      <c r="Q172" s="12" t="str">
        <f t="shared" si="115"/>
        <v>HL</v>
      </c>
      <c r="R172" s="12" t="str">
        <f t="shared" si="116"/>
        <v>HW</v>
      </c>
      <c r="S172" s="12" t="str">
        <f t="shared" si="117"/>
        <v>HL</v>
      </c>
      <c r="T172" s="12" t="str">
        <f t="shared" si="118"/>
        <v>HW</v>
      </c>
      <c r="U172" s="12" t="str">
        <f t="shared" si="119"/>
        <v>O</v>
      </c>
      <c r="V172" s="12" t="str">
        <f t="shared" si="120"/>
        <v>U</v>
      </c>
      <c r="W172" s="12" t="str">
        <f t="shared" si="121"/>
        <v>O</v>
      </c>
      <c r="X172" s="12" t="str">
        <f t="shared" si="122"/>
        <v>U</v>
      </c>
      <c r="Z172" s="12">
        <v>52.5</v>
      </c>
      <c r="AA172" s="12" t="str">
        <f t="shared" si="112"/>
        <v>OKC/PHI</v>
      </c>
    </row>
    <row r="173" spans="1:27" ht="17.100000000000001" x14ac:dyDescent="0.45">
      <c r="A173" s="12">
        <v>191116</v>
      </c>
      <c r="B173" s="1">
        <v>0.41666666666666669</v>
      </c>
      <c r="C173" s="12" t="s">
        <v>207</v>
      </c>
      <c r="D173" s="12" t="s">
        <v>208</v>
      </c>
      <c r="E173" s="12">
        <v>23</v>
      </c>
      <c r="F173" s="12">
        <v>30</v>
      </c>
      <c r="G173" s="12">
        <v>24</v>
      </c>
      <c r="H173" s="12">
        <v>30</v>
      </c>
      <c r="I173" s="12"/>
      <c r="J173" s="12">
        <v>26</v>
      </c>
      <c r="K173" s="12">
        <v>22</v>
      </c>
      <c r="L173" s="12">
        <v>31</v>
      </c>
      <c r="M173" s="12">
        <v>27</v>
      </c>
      <c r="N173" s="12"/>
      <c r="O173" s="12">
        <f t="shared" si="113"/>
        <v>107</v>
      </c>
      <c r="P173" s="12">
        <f t="shared" si="114"/>
        <v>106</v>
      </c>
      <c r="Q173" s="12" t="str">
        <f t="shared" si="115"/>
        <v>HL</v>
      </c>
      <c r="R173" s="12" t="str">
        <f t="shared" si="116"/>
        <v>HW</v>
      </c>
      <c r="S173" s="12" t="str">
        <f t="shared" si="117"/>
        <v>HL</v>
      </c>
      <c r="T173" s="12" t="str">
        <f t="shared" si="118"/>
        <v>HW</v>
      </c>
      <c r="U173" s="12" t="str">
        <f t="shared" si="119"/>
        <v>U</v>
      </c>
      <c r="V173" s="12" t="str">
        <f t="shared" si="120"/>
        <v>U</v>
      </c>
      <c r="W173" s="12" t="str">
        <f t="shared" si="121"/>
        <v>O</v>
      </c>
      <c r="X173" s="12" t="str">
        <f t="shared" si="122"/>
        <v>O</v>
      </c>
      <c r="Z173" s="12">
        <v>53</v>
      </c>
      <c r="AA173" s="12" t="str">
        <f t="shared" si="112"/>
        <v>MEM/UTA</v>
      </c>
    </row>
    <row r="174" spans="1:27" ht="17.100000000000001" x14ac:dyDescent="0.45">
      <c r="A174" s="12">
        <v>191116</v>
      </c>
      <c r="B174" s="1">
        <v>0.52083333333333337</v>
      </c>
      <c r="C174" s="12" t="s">
        <v>209</v>
      </c>
      <c r="D174" s="12" t="s">
        <v>210</v>
      </c>
      <c r="E174" s="12">
        <v>32</v>
      </c>
      <c r="F174" s="12">
        <v>19</v>
      </c>
      <c r="G174" s="12">
        <v>20</v>
      </c>
      <c r="H174" s="12">
        <v>29</v>
      </c>
      <c r="I174" s="12"/>
      <c r="J174" s="12">
        <v>23</v>
      </c>
      <c r="K174" s="12">
        <v>29</v>
      </c>
      <c r="L174" s="12">
        <v>24</v>
      </c>
      <c r="M174" s="12">
        <v>29</v>
      </c>
      <c r="N174" s="12"/>
      <c r="O174" s="12">
        <f t="shared" si="113"/>
        <v>100</v>
      </c>
      <c r="P174" s="12">
        <f t="shared" si="114"/>
        <v>105</v>
      </c>
      <c r="Q174" s="12" t="str">
        <f t="shared" si="115"/>
        <v>HW</v>
      </c>
      <c r="R174" s="12" t="str">
        <f t="shared" si="116"/>
        <v>HL</v>
      </c>
      <c r="S174" s="12" t="str">
        <f t="shared" si="117"/>
        <v>HL</v>
      </c>
      <c r="T174" s="12" t="str">
        <f t="shared" si="118"/>
        <v>TT</v>
      </c>
      <c r="U174" s="12" t="str">
        <f t="shared" si="119"/>
        <v>T</v>
      </c>
      <c r="V174" s="12" t="str">
        <f t="shared" si="120"/>
        <v>U</v>
      </c>
      <c r="W174" s="12" t="str">
        <f t="shared" si="121"/>
        <v>U</v>
      </c>
      <c r="X174" s="12" t="str">
        <f t="shared" si="122"/>
        <v>O</v>
      </c>
      <c r="Z174" s="12">
        <v>55</v>
      </c>
      <c r="AA174" s="12" t="str">
        <f t="shared" si="112"/>
        <v>GS/BOS</v>
      </c>
    </row>
    <row r="175" spans="1:27" ht="17.100000000000001" x14ac:dyDescent="0.45">
      <c r="A175" s="12">
        <v>191116</v>
      </c>
      <c r="B175" s="1">
        <v>0.52083333333333337</v>
      </c>
      <c r="C175" s="12" t="s">
        <v>211</v>
      </c>
      <c r="D175" s="12" t="s">
        <v>212</v>
      </c>
      <c r="E175" s="12">
        <v>20</v>
      </c>
      <c r="F175" s="12">
        <v>29</v>
      </c>
      <c r="G175" s="12">
        <v>25</v>
      </c>
      <c r="H175" s="12">
        <v>25</v>
      </c>
      <c r="I175" s="12"/>
      <c r="J175" s="12">
        <v>30</v>
      </c>
      <c r="K175" s="12">
        <v>20</v>
      </c>
      <c r="L175" s="12">
        <v>21</v>
      </c>
      <c r="M175" s="12">
        <v>26</v>
      </c>
      <c r="N175" s="12"/>
      <c r="O175" s="12">
        <f t="shared" si="113"/>
        <v>99</v>
      </c>
      <c r="P175" s="12">
        <f t="shared" si="114"/>
        <v>97</v>
      </c>
      <c r="Q175" s="12" t="str">
        <f t="shared" si="115"/>
        <v>HL</v>
      </c>
      <c r="R175" s="12" t="str">
        <f t="shared" si="116"/>
        <v>HW</v>
      </c>
      <c r="S175" s="12" t="str">
        <f t="shared" si="117"/>
        <v>HW</v>
      </c>
      <c r="T175" s="12" t="str">
        <f t="shared" si="118"/>
        <v>HL</v>
      </c>
      <c r="U175" s="12" t="str">
        <f t="shared" si="119"/>
        <v>U</v>
      </c>
      <c r="V175" s="12" t="str">
        <f t="shared" si="120"/>
        <v>U</v>
      </c>
      <c r="W175" s="12" t="str">
        <f t="shared" si="121"/>
        <v>U</v>
      </c>
      <c r="X175" s="12" t="str">
        <f t="shared" si="122"/>
        <v>U</v>
      </c>
      <c r="Z175" s="12">
        <v>55.5</v>
      </c>
      <c r="AA175" s="12" t="str">
        <f t="shared" si="112"/>
        <v>LAL/SAC</v>
      </c>
    </row>
    <row r="176" spans="1:27" ht="17.100000000000001" x14ac:dyDescent="0.45">
      <c r="A176" s="12">
        <v>191117</v>
      </c>
      <c r="B176" s="1">
        <v>0.33333333333333331</v>
      </c>
      <c r="C176" s="12" t="s">
        <v>213</v>
      </c>
      <c r="D176" s="12" t="s">
        <v>214</v>
      </c>
      <c r="E176" s="12">
        <v>19</v>
      </c>
      <c r="F176" s="12">
        <v>37</v>
      </c>
      <c r="G176" s="12">
        <v>22</v>
      </c>
      <c r="H176" s="12">
        <v>33</v>
      </c>
      <c r="I176" s="12"/>
      <c r="J176" s="12">
        <v>30</v>
      </c>
      <c r="K176" s="12">
        <v>20</v>
      </c>
      <c r="L176" s="12">
        <v>24</v>
      </c>
      <c r="M176" s="12">
        <v>43</v>
      </c>
      <c r="N176" s="12"/>
      <c r="O176" s="12">
        <f t="shared" ref="O176:O202" si="123">SUM(E176:I176)</f>
        <v>111</v>
      </c>
      <c r="P176" s="12">
        <f t="shared" ref="P176:P202" si="124">SUM(J176:N176)</f>
        <v>117</v>
      </c>
      <c r="Q176" s="12" t="str">
        <f t="shared" ref="Q176:Q202" si="125">IF(E176=J176,"TT",IF(E176&gt;J176,"HW","HL"))</f>
        <v>HL</v>
      </c>
      <c r="R176" s="12" t="str">
        <f t="shared" ref="R176:R202" si="126">IF(F176=K176,"TT",IF(F176&gt;K176,"HW","HL"))</f>
        <v>HW</v>
      </c>
      <c r="S176" s="12" t="str">
        <f t="shared" ref="S176:S202" si="127">IF(G176=L176,"TT",IF(G176&gt;L176,"HW","HL"))</f>
        <v>HL</v>
      </c>
      <c r="T176" s="12" t="str">
        <f t="shared" ref="T176:T202" si="128">IF(H176=M176,"TT",IF(H176&gt;M176,"HW","HL"))</f>
        <v>HL</v>
      </c>
      <c r="U176" s="12" t="str">
        <f t="shared" ref="U176:U202" si="129">IF(SUM(E176,J176)=$Z176,"T",IF(SUM(E176,J176)&gt;$Z176,"O","U"))</f>
        <v>U</v>
      </c>
      <c r="V176" s="12" t="str">
        <f t="shared" ref="V176:V202" si="130">IF(SUM(F176,K176)=$Z176,"T",IF(SUM(F176,K176)&gt;$Z176,"O","U"))</f>
        <v>O</v>
      </c>
      <c r="W176" s="12" t="str">
        <f t="shared" ref="W176:W202" si="131">IF(SUM(G176,L176)=$Z176,"T",IF(SUM(G176,L176)&gt;$Z176,"O","U"))</f>
        <v>U</v>
      </c>
      <c r="X176" s="12" t="str">
        <f t="shared" si="122"/>
        <v>O</v>
      </c>
      <c r="Z176" s="12">
        <v>55</v>
      </c>
      <c r="AA176" s="12" t="str">
        <f t="shared" ref="AA176:AA239" si="132">C176&amp;"/"&amp;D176</f>
        <v>CHI/BKN</v>
      </c>
    </row>
    <row r="177" spans="1:27" ht="17.100000000000001" x14ac:dyDescent="0.45">
      <c r="A177" s="12">
        <v>191117</v>
      </c>
      <c r="B177" s="1">
        <v>0.375</v>
      </c>
      <c r="C177" s="12" t="s">
        <v>202</v>
      </c>
      <c r="D177" s="12" t="s">
        <v>215</v>
      </c>
      <c r="E177" s="12">
        <v>22</v>
      </c>
      <c r="F177" s="12">
        <v>14</v>
      </c>
      <c r="G177" s="12">
        <v>27</v>
      </c>
      <c r="H177" s="12">
        <v>20</v>
      </c>
      <c r="I177" s="12"/>
      <c r="J177" s="12">
        <v>26</v>
      </c>
      <c r="K177" s="12">
        <v>23</v>
      </c>
      <c r="L177" s="12">
        <v>22</v>
      </c>
      <c r="M177" s="12">
        <v>31</v>
      </c>
      <c r="N177" s="12"/>
      <c r="O177" s="12">
        <f t="shared" si="123"/>
        <v>83</v>
      </c>
      <c r="P177" s="12">
        <f t="shared" si="124"/>
        <v>102</v>
      </c>
      <c r="Q177" s="12" t="str">
        <f t="shared" si="125"/>
        <v>HL</v>
      </c>
      <c r="R177" s="12" t="str">
        <f t="shared" si="126"/>
        <v>HL</v>
      </c>
      <c r="S177" s="12" t="str">
        <f t="shared" si="127"/>
        <v>HW</v>
      </c>
      <c r="T177" s="12" t="str">
        <f t="shared" si="128"/>
        <v>HL</v>
      </c>
      <c r="U177" s="12" t="str">
        <f t="shared" si="129"/>
        <v>U</v>
      </c>
      <c r="V177" s="12" t="str">
        <f t="shared" si="130"/>
        <v>U</v>
      </c>
      <c r="W177" s="12" t="str">
        <f t="shared" si="131"/>
        <v>U</v>
      </c>
      <c r="X177" s="12" t="str">
        <f t="shared" si="122"/>
        <v>U</v>
      </c>
      <c r="Z177" s="12">
        <v>54</v>
      </c>
      <c r="AA177" s="12" t="str">
        <f t="shared" si="132"/>
        <v>IND/MIL</v>
      </c>
    </row>
    <row r="178" spans="1:27" ht="17.100000000000001" x14ac:dyDescent="0.45">
      <c r="A178" s="12">
        <v>191117</v>
      </c>
      <c r="B178" s="1">
        <v>0.39583333333333331</v>
      </c>
      <c r="C178" s="12" t="s">
        <v>216</v>
      </c>
      <c r="D178" s="12" t="s">
        <v>199</v>
      </c>
      <c r="E178" s="12">
        <v>23</v>
      </c>
      <c r="F178" s="12">
        <v>32</v>
      </c>
      <c r="G178" s="12">
        <v>21</v>
      </c>
      <c r="H178" s="12">
        <v>26</v>
      </c>
      <c r="I178" s="12"/>
      <c r="J178" s="12">
        <v>20</v>
      </c>
      <c r="K178" s="12">
        <v>27</v>
      </c>
      <c r="L178" s="12">
        <v>28</v>
      </c>
      <c r="M178" s="12">
        <v>28</v>
      </c>
      <c r="N178" s="12"/>
      <c r="O178" s="12">
        <f t="shared" si="123"/>
        <v>102</v>
      </c>
      <c r="P178" s="12">
        <f t="shared" si="124"/>
        <v>103</v>
      </c>
      <c r="Q178" s="12" t="str">
        <f t="shared" si="125"/>
        <v>HW</v>
      </c>
      <c r="R178" s="12" t="str">
        <f t="shared" si="126"/>
        <v>HW</v>
      </c>
      <c r="S178" s="12" t="str">
        <f t="shared" si="127"/>
        <v>HL</v>
      </c>
      <c r="T178" s="12" t="str">
        <f t="shared" si="128"/>
        <v>HL</v>
      </c>
      <c r="U178" s="12" t="str">
        <f t="shared" si="129"/>
        <v>U</v>
      </c>
      <c r="V178" s="12" t="str">
        <f t="shared" si="130"/>
        <v>O</v>
      </c>
      <c r="W178" s="12" t="str">
        <f t="shared" si="131"/>
        <v>U</v>
      </c>
      <c r="X178" s="12" t="str">
        <f t="shared" si="122"/>
        <v>U</v>
      </c>
      <c r="Z178" s="12">
        <v>54.5</v>
      </c>
      <c r="AA178" s="12" t="str">
        <f t="shared" si="132"/>
        <v>NYK/CHA</v>
      </c>
    </row>
    <row r="179" spans="1:27" ht="17.100000000000001" x14ac:dyDescent="0.45">
      <c r="A179" s="12">
        <v>191117</v>
      </c>
      <c r="B179" s="1">
        <v>0.41666666666666669</v>
      </c>
      <c r="C179" s="11" t="s">
        <v>217</v>
      </c>
      <c r="D179" s="12" t="s">
        <v>218</v>
      </c>
      <c r="E179" s="12">
        <v>29</v>
      </c>
      <c r="F179" s="12">
        <v>25</v>
      </c>
      <c r="G179" s="12">
        <v>24</v>
      </c>
      <c r="H179" s="12">
        <v>31</v>
      </c>
      <c r="I179" s="12"/>
      <c r="J179" s="12">
        <v>22</v>
      </c>
      <c r="K179" s="12">
        <v>27</v>
      </c>
      <c r="L179" s="12">
        <v>16</v>
      </c>
      <c r="M179" s="12">
        <v>29</v>
      </c>
      <c r="N179" s="12"/>
      <c r="O179" s="12">
        <f t="shared" si="123"/>
        <v>109</v>
      </c>
      <c r="P179" s="12">
        <f t="shared" si="124"/>
        <v>94</v>
      </c>
      <c r="Q179" s="12" t="str">
        <f t="shared" si="125"/>
        <v>HW</v>
      </c>
      <c r="R179" s="12" t="str">
        <f t="shared" si="126"/>
        <v>HL</v>
      </c>
      <c r="S179" s="12" t="str">
        <f t="shared" si="127"/>
        <v>HW</v>
      </c>
      <c r="T179" s="12" t="str">
        <f t="shared" si="128"/>
        <v>HW</v>
      </c>
      <c r="U179" s="12" t="str">
        <f t="shared" si="129"/>
        <v>U</v>
      </c>
      <c r="V179" s="12" t="str">
        <f t="shared" si="130"/>
        <v>U</v>
      </c>
      <c r="W179" s="12" t="str">
        <f t="shared" si="131"/>
        <v>U</v>
      </c>
      <c r="X179" s="12" t="str">
        <f t="shared" si="122"/>
        <v>O</v>
      </c>
      <c r="Z179" s="12">
        <v>58</v>
      </c>
      <c r="AA179" s="12" t="str">
        <f t="shared" si="132"/>
        <v>MIA/NO</v>
      </c>
    </row>
    <row r="180" spans="1:27" ht="17.100000000000001" x14ac:dyDescent="0.45">
      <c r="A180" s="12">
        <v>191117</v>
      </c>
      <c r="B180" s="1">
        <v>0.41666666666666669</v>
      </c>
      <c r="C180" s="12" t="s">
        <v>203</v>
      </c>
      <c r="D180" s="11" t="s">
        <v>201</v>
      </c>
      <c r="E180" s="12">
        <v>30</v>
      </c>
      <c r="F180" s="12">
        <v>32</v>
      </c>
      <c r="G180" s="12">
        <v>23</v>
      </c>
      <c r="H180" s="12">
        <v>20</v>
      </c>
      <c r="I180" s="12"/>
      <c r="J180" s="12">
        <v>31</v>
      </c>
      <c r="K180" s="12">
        <v>33</v>
      </c>
      <c r="L180" s="12">
        <v>29</v>
      </c>
      <c r="M180" s="12">
        <v>32</v>
      </c>
      <c r="N180" s="12"/>
      <c r="O180" s="12">
        <f t="shared" si="123"/>
        <v>105</v>
      </c>
      <c r="P180" s="12">
        <f t="shared" si="124"/>
        <v>125</v>
      </c>
      <c r="Q180" s="12" t="str">
        <f t="shared" si="125"/>
        <v>HL</v>
      </c>
      <c r="R180" s="12" t="str">
        <f t="shared" si="126"/>
        <v>HL</v>
      </c>
      <c r="S180" s="12" t="str">
        <f t="shared" si="127"/>
        <v>HL</v>
      </c>
      <c r="T180" s="12" t="str">
        <f t="shared" si="128"/>
        <v>HL</v>
      </c>
      <c r="U180" s="12" t="str">
        <f t="shared" si="129"/>
        <v>O</v>
      </c>
      <c r="V180" s="12" t="str">
        <f t="shared" si="130"/>
        <v>O</v>
      </c>
      <c r="W180" s="12" t="str">
        <f t="shared" si="131"/>
        <v>U</v>
      </c>
      <c r="X180" s="12" t="str">
        <f t="shared" si="122"/>
        <v>U</v>
      </c>
      <c r="Z180" s="12">
        <v>59</v>
      </c>
      <c r="AA180" s="12" t="str">
        <f t="shared" si="132"/>
        <v>MIN/HOU</v>
      </c>
    </row>
    <row r="181" spans="1:27" ht="17.100000000000001" x14ac:dyDescent="0.45">
      <c r="A181" s="12">
        <v>191117</v>
      </c>
      <c r="B181" s="1">
        <v>0.4375</v>
      </c>
      <c r="C181" s="12" t="s">
        <v>219</v>
      </c>
      <c r="D181" s="12" t="s">
        <v>220</v>
      </c>
      <c r="E181" s="12">
        <v>32</v>
      </c>
      <c r="F181" s="12">
        <v>21</v>
      </c>
      <c r="G181" s="12">
        <v>25</v>
      </c>
      <c r="H181" s="12">
        <v>32</v>
      </c>
      <c r="I181" s="12"/>
      <c r="J181" s="12">
        <v>22</v>
      </c>
      <c r="K181" s="12">
        <v>38</v>
      </c>
      <c r="L181" s="12">
        <v>17</v>
      </c>
      <c r="M181" s="12">
        <v>25</v>
      </c>
      <c r="N181" s="12"/>
      <c r="O181" s="12">
        <f t="shared" si="123"/>
        <v>110</v>
      </c>
      <c r="P181" s="12">
        <f t="shared" si="124"/>
        <v>102</v>
      </c>
      <c r="Q181" s="12" t="str">
        <f t="shared" si="125"/>
        <v>HW</v>
      </c>
      <c r="R181" s="12" t="str">
        <f t="shared" si="126"/>
        <v>HL</v>
      </c>
      <c r="S181" s="12" t="str">
        <f t="shared" si="127"/>
        <v>HW</v>
      </c>
      <c r="T181" s="12" t="str">
        <f t="shared" si="128"/>
        <v>HW</v>
      </c>
      <c r="U181" s="12" t="str">
        <f t="shared" si="129"/>
        <v>U</v>
      </c>
      <c r="V181" s="12" t="str">
        <f t="shared" si="130"/>
        <v>O</v>
      </c>
      <c r="W181" s="12" t="str">
        <f t="shared" si="131"/>
        <v>U</v>
      </c>
      <c r="X181" s="12" t="str">
        <f t="shared" si="122"/>
        <v>O</v>
      </c>
      <c r="Z181" s="12">
        <v>56</v>
      </c>
      <c r="AA181" s="12" t="str">
        <f t="shared" si="132"/>
        <v>DAL/TOR</v>
      </c>
    </row>
    <row r="182" spans="1:27" ht="17.100000000000001" x14ac:dyDescent="0.45">
      <c r="A182" s="12">
        <v>191117</v>
      </c>
      <c r="B182" s="1">
        <v>0.4375</v>
      </c>
      <c r="C182" s="12" t="s">
        <v>198</v>
      </c>
      <c r="D182" s="12" t="s">
        <v>221</v>
      </c>
      <c r="E182" s="12">
        <v>23</v>
      </c>
      <c r="F182" s="12">
        <v>35</v>
      </c>
      <c r="G182" s="12">
        <v>38</v>
      </c>
      <c r="H182" s="12">
        <v>20</v>
      </c>
      <c r="I182" s="12"/>
      <c r="J182" s="12">
        <v>41</v>
      </c>
      <c r="K182" s="12">
        <v>25</v>
      </c>
      <c r="L182" s="12">
        <v>24</v>
      </c>
      <c r="M182" s="12">
        <v>31</v>
      </c>
      <c r="N182" s="12"/>
      <c r="O182" s="12">
        <f t="shared" si="123"/>
        <v>116</v>
      </c>
      <c r="P182" s="12">
        <f t="shared" si="124"/>
        <v>121</v>
      </c>
      <c r="Q182" s="12" t="str">
        <f t="shared" si="125"/>
        <v>HL</v>
      </c>
      <c r="R182" s="12" t="str">
        <f t="shared" si="126"/>
        <v>HW</v>
      </c>
      <c r="S182" s="12" t="str">
        <f t="shared" si="127"/>
        <v>HW</v>
      </c>
      <c r="T182" s="12" t="str">
        <f t="shared" si="128"/>
        <v>HL</v>
      </c>
      <c r="U182" s="12" t="str">
        <f t="shared" si="129"/>
        <v>O</v>
      </c>
      <c r="V182" s="12" t="str">
        <f t="shared" si="130"/>
        <v>O</v>
      </c>
      <c r="W182" s="12" t="str">
        <f t="shared" si="131"/>
        <v>O</v>
      </c>
      <c r="X182" s="12" t="str">
        <f t="shared" si="122"/>
        <v>U</v>
      </c>
      <c r="Z182" s="12">
        <v>55</v>
      </c>
      <c r="AA182" s="12" t="str">
        <f t="shared" si="132"/>
        <v>SAS/POR</v>
      </c>
    </row>
    <row r="183" spans="1:27" ht="17.100000000000001" x14ac:dyDescent="0.45">
      <c r="A183" s="12">
        <v>191117</v>
      </c>
      <c r="B183" s="1">
        <v>0.52083333333333337</v>
      </c>
      <c r="C183" s="12" t="s">
        <v>222</v>
      </c>
      <c r="D183" s="12" t="s">
        <v>223</v>
      </c>
      <c r="E183" s="12">
        <v>43</v>
      </c>
      <c r="F183" s="12">
        <v>31</v>
      </c>
      <c r="G183" s="12">
        <v>38</v>
      </c>
      <c r="H183" s="12">
        <v>38</v>
      </c>
      <c r="I183" s="12"/>
      <c r="J183" s="12">
        <v>30</v>
      </c>
      <c r="K183" s="12">
        <v>32</v>
      </c>
      <c r="L183" s="12">
        <v>20</v>
      </c>
      <c r="M183" s="12">
        <v>19</v>
      </c>
      <c r="N183" s="12"/>
      <c r="O183" s="12">
        <f t="shared" si="123"/>
        <v>150</v>
      </c>
      <c r="P183" s="12">
        <f t="shared" si="124"/>
        <v>101</v>
      </c>
      <c r="Q183" s="12" t="str">
        <f t="shared" si="125"/>
        <v>HW</v>
      </c>
      <c r="R183" s="12" t="str">
        <f t="shared" si="126"/>
        <v>HL</v>
      </c>
      <c r="S183" s="12" t="str">
        <f t="shared" si="127"/>
        <v>HW</v>
      </c>
      <c r="T183" s="12" t="str">
        <f t="shared" si="128"/>
        <v>HW</v>
      </c>
      <c r="U183" s="12" t="str">
        <f t="shared" si="129"/>
        <v>O</v>
      </c>
      <c r="V183" s="12" t="str">
        <f t="shared" si="130"/>
        <v>O</v>
      </c>
      <c r="W183" s="12" t="str">
        <f t="shared" si="131"/>
        <v>O</v>
      </c>
      <c r="X183" s="12" t="str">
        <f t="shared" si="122"/>
        <v>U</v>
      </c>
      <c r="Z183" s="12">
        <v>57.5</v>
      </c>
      <c r="AA183" s="12" t="str">
        <f t="shared" si="132"/>
        <v>LAC/ATL</v>
      </c>
    </row>
    <row r="184" spans="1:27" ht="17.100000000000001" x14ac:dyDescent="0.45">
      <c r="A184" s="12">
        <v>191118</v>
      </c>
      <c r="B184" s="1">
        <v>0.20833333333333334</v>
      </c>
      <c r="C184" t="s">
        <v>224</v>
      </c>
      <c r="D184" t="s">
        <v>225</v>
      </c>
      <c r="E184" s="12">
        <v>22</v>
      </c>
      <c r="F184" s="12">
        <v>22</v>
      </c>
      <c r="G184" s="12">
        <v>25</v>
      </c>
      <c r="H184" s="12">
        <v>26</v>
      </c>
      <c r="I184" s="12"/>
      <c r="J184" s="12">
        <v>33</v>
      </c>
      <c r="K184" s="12">
        <v>35</v>
      </c>
      <c r="L184" s="12">
        <v>27</v>
      </c>
      <c r="M184" s="12">
        <v>19</v>
      </c>
      <c r="O184" s="12">
        <f t="shared" si="123"/>
        <v>95</v>
      </c>
      <c r="P184" s="12">
        <f t="shared" si="124"/>
        <v>114</v>
      </c>
      <c r="Q184" s="12" t="str">
        <f t="shared" si="125"/>
        <v>HL</v>
      </c>
      <c r="R184" s="12" t="str">
        <f t="shared" si="126"/>
        <v>HL</v>
      </c>
      <c r="S184" s="12" t="str">
        <f t="shared" si="127"/>
        <v>HL</v>
      </c>
      <c r="T184" s="12" t="str">
        <f t="shared" si="128"/>
        <v>HW</v>
      </c>
      <c r="U184" s="12" t="str">
        <f t="shared" si="129"/>
        <v>O</v>
      </c>
      <c r="V184" s="12" t="str">
        <f t="shared" si="130"/>
        <v>O</v>
      </c>
      <c r="W184" s="12" t="str">
        <f t="shared" si="131"/>
        <v>U</v>
      </c>
      <c r="X184" s="12" t="str">
        <f t="shared" si="122"/>
        <v>U</v>
      </c>
      <c r="Z184" s="12">
        <v>53</v>
      </c>
      <c r="AA184" s="12" t="str">
        <f t="shared" si="132"/>
        <v>CLE/PHI</v>
      </c>
    </row>
    <row r="185" spans="1:27" ht="17.100000000000001" x14ac:dyDescent="0.45">
      <c r="A185" s="12">
        <v>191118</v>
      </c>
      <c r="B185" s="1">
        <v>0.22916666666666666</v>
      </c>
      <c r="C185" t="s">
        <v>226</v>
      </c>
      <c r="D185" t="s">
        <v>227</v>
      </c>
      <c r="E185" s="12">
        <v>30</v>
      </c>
      <c r="F185" s="12">
        <v>20</v>
      </c>
      <c r="G185" s="12">
        <v>21</v>
      </c>
      <c r="H185" s="12">
        <v>29</v>
      </c>
      <c r="I185" s="12"/>
      <c r="J185" s="12">
        <v>18</v>
      </c>
      <c r="K185" s="12">
        <v>28</v>
      </c>
      <c r="L185" s="12">
        <v>29</v>
      </c>
      <c r="M185" s="12">
        <v>24</v>
      </c>
      <c r="O185" s="12">
        <f t="shared" si="123"/>
        <v>100</v>
      </c>
      <c r="P185" s="12">
        <f t="shared" si="124"/>
        <v>99</v>
      </c>
      <c r="Q185" s="12" t="str">
        <f t="shared" si="125"/>
        <v>HW</v>
      </c>
      <c r="R185" s="12" t="str">
        <f t="shared" si="126"/>
        <v>HL</v>
      </c>
      <c r="S185" s="12" t="str">
        <f t="shared" si="127"/>
        <v>HL</v>
      </c>
      <c r="T185" s="12" t="str">
        <f t="shared" si="128"/>
        <v>HW</v>
      </c>
      <c r="U185" s="12" t="str">
        <f t="shared" si="129"/>
        <v>U</v>
      </c>
      <c r="V185" s="12" t="str">
        <f t="shared" si="130"/>
        <v>U</v>
      </c>
      <c r="W185" s="12" t="str">
        <f t="shared" si="131"/>
        <v>U</v>
      </c>
      <c r="X185" s="12" t="str">
        <f t="shared" si="122"/>
        <v>T</v>
      </c>
      <c r="Z185" s="12">
        <v>53</v>
      </c>
      <c r="AA185" s="12" t="str">
        <f t="shared" si="132"/>
        <v>SAC/BOS</v>
      </c>
    </row>
    <row r="186" spans="1:27" ht="17.100000000000001" x14ac:dyDescent="0.45">
      <c r="A186" s="12">
        <v>191118</v>
      </c>
      <c r="B186" s="1">
        <v>0.33333333333333331</v>
      </c>
      <c r="C186" t="s">
        <v>228</v>
      </c>
      <c r="D186" t="s">
        <v>34</v>
      </c>
      <c r="E186" s="12">
        <v>29</v>
      </c>
      <c r="F186" s="12">
        <v>32</v>
      </c>
      <c r="G186" s="12">
        <v>27</v>
      </c>
      <c r="H186" s="12">
        <v>37</v>
      </c>
      <c r="I186" s="12"/>
      <c r="J186" s="12">
        <v>22</v>
      </c>
      <c r="K186" s="12">
        <v>30</v>
      </c>
      <c r="L186" s="12">
        <v>25</v>
      </c>
      <c r="M186" s="12">
        <v>44</v>
      </c>
      <c r="N186" s="12"/>
      <c r="O186" s="12">
        <f t="shared" si="123"/>
        <v>125</v>
      </c>
      <c r="P186" s="12">
        <f t="shared" si="124"/>
        <v>121</v>
      </c>
      <c r="Q186" s="12" t="str">
        <f t="shared" si="125"/>
        <v>HW</v>
      </c>
      <c r="R186" s="12" t="str">
        <f t="shared" si="126"/>
        <v>HW</v>
      </c>
      <c r="S186" s="12" t="str">
        <f t="shared" si="127"/>
        <v>HW</v>
      </c>
      <c r="T186" s="12" t="str">
        <f t="shared" si="128"/>
        <v>HL</v>
      </c>
      <c r="U186" s="12" t="str">
        <f t="shared" si="129"/>
        <v>U</v>
      </c>
      <c r="V186" s="12" t="str">
        <f t="shared" si="130"/>
        <v>O</v>
      </c>
      <c r="W186" s="12" t="str">
        <f t="shared" si="131"/>
        <v>U</v>
      </c>
      <c r="X186" s="12" t="str">
        <f t="shared" si="122"/>
        <v>O</v>
      </c>
      <c r="Z186" s="12">
        <v>57.5</v>
      </c>
      <c r="AA186" s="12" t="str">
        <f t="shared" si="132"/>
        <v>ORL/WAS</v>
      </c>
    </row>
    <row r="187" spans="1:27" ht="17.100000000000001" x14ac:dyDescent="0.45">
      <c r="A187" s="12">
        <v>191118</v>
      </c>
      <c r="B187" s="1">
        <v>0.33333333333333331</v>
      </c>
      <c r="C187" t="s">
        <v>229</v>
      </c>
      <c r="D187" t="s">
        <v>230</v>
      </c>
      <c r="E187" s="12">
        <v>32</v>
      </c>
      <c r="F187" s="12">
        <v>17</v>
      </c>
      <c r="G187" s="12">
        <v>31</v>
      </c>
      <c r="H187" s="12">
        <v>34</v>
      </c>
      <c r="I187" s="12"/>
      <c r="J187" s="12">
        <v>28</v>
      </c>
      <c r="K187" s="12">
        <v>44</v>
      </c>
      <c r="L187" s="12">
        <v>36</v>
      </c>
      <c r="M187" s="12">
        <v>23</v>
      </c>
      <c r="O187" s="12">
        <f t="shared" si="123"/>
        <v>114</v>
      </c>
      <c r="P187" s="12">
        <f t="shared" si="124"/>
        <v>131</v>
      </c>
      <c r="Q187" s="12" t="str">
        <f t="shared" si="125"/>
        <v>HW</v>
      </c>
      <c r="R187" s="12" t="str">
        <f t="shared" si="126"/>
        <v>HL</v>
      </c>
      <c r="S187" s="12" t="str">
        <f t="shared" si="127"/>
        <v>HL</v>
      </c>
      <c r="T187" s="12" t="str">
        <f t="shared" si="128"/>
        <v>HW</v>
      </c>
      <c r="U187" s="12" t="str">
        <f t="shared" si="129"/>
        <v>O</v>
      </c>
      <c r="V187" s="12" t="str">
        <f t="shared" si="130"/>
        <v>O</v>
      </c>
      <c r="W187" s="12" t="str">
        <f t="shared" si="131"/>
        <v>O</v>
      </c>
      <c r="X187" s="12" t="str">
        <f t="shared" si="122"/>
        <v>O</v>
      </c>
      <c r="Z187" s="12">
        <v>54.5</v>
      </c>
      <c r="AA187" s="12" t="str">
        <f t="shared" si="132"/>
        <v>MEM/DEN</v>
      </c>
    </row>
    <row r="188" spans="1:27" ht="17.100000000000001" x14ac:dyDescent="0.45">
      <c r="A188" s="12">
        <v>191118</v>
      </c>
      <c r="B188" s="1">
        <v>0.375</v>
      </c>
      <c r="C188" t="s">
        <v>231</v>
      </c>
      <c r="D188" t="s">
        <v>232</v>
      </c>
      <c r="E188" s="12">
        <v>26</v>
      </c>
      <c r="F188" s="12">
        <v>29</v>
      </c>
      <c r="G188" s="12">
        <v>21</v>
      </c>
      <c r="H188" s="12">
        <v>32</v>
      </c>
      <c r="I188" s="12"/>
      <c r="J188" s="12">
        <v>23</v>
      </c>
      <c r="K188" s="12">
        <v>26</v>
      </c>
      <c r="L188" s="12">
        <v>20</v>
      </c>
      <c r="M188" s="12">
        <v>31</v>
      </c>
      <c r="O188" s="12">
        <f t="shared" si="123"/>
        <v>108</v>
      </c>
      <c r="P188" s="12">
        <f t="shared" si="124"/>
        <v>100</v>
      </c>
      <c r="Q188" s="12" t="str">
        <f t="shared" si="125"/>
        <v>HW</v>
      </c>
      <c r="R188" s="12" t="str">
        <f t="shared" si="126"/>
        <v>HW</v>
      </c>
      <c r="S188" s="12" t="str">
        <f t="shared" si="127"/>
        <v>HW</v>
      </c>
      <c r="T188" s="12" t="str">
        <f t="shared" si="128"/>
        <v>HW</v>
      </c>
      <c r="U188" s="12" t="str">
        <f t="shared" si="129"/>
        <v>U</v>
      </c>
      <c r="V188" s="12" t="str">
        <f t="shared" si="130"/>
        <v>U</v>
      </c>
      <c r="W188" s="12" t="str">
        <f t="shared" si="131"/>
        <v>U</v>
      </c>
      <c r="X188" s="12" t="str">
        <f t="shared" si="122"/>
        <v>O</v>
      </c>
      <c r="Z188" s="12">
        <v>58.5</v>
      </c>
      <c r="AA188" s="12" t="str">
        <f t="shared" si="132"/>
        <v>NO/GS</v>
      </c>
    </row>
    <row r="189" spans="1:27" ht="17.100000000000001" x14ac:dyDescent="0.45">
      <c r="A189" s="12">
        <v>191118</v>
      </c>
      <c r="B189" s="1">
        <v>0.47916666666666669</v>
      </c>
      <c r="C189" t="s">
        <v>233</v>
      </c>
      <c r="D189" t="s">
        <v>234</v>
      </c>
      <c r="E189" s="12">
        <v>36</v>
      </c>
      <c r="F189" s="12">
        <v>33</v>
      </c>
      <c r="G189" s="12">
        <v>27</v>
      </c>
      <c r="H189" s="12">
        <v>26</v>
      </c>
      <c r="I189" s="12"/>
      <c r="J189" s="12">
        <v>24</v>
      </c>
      <c r="K189" s="12">
        <v>17</v>
      </c>
      <c r="L189" s="12">
        <v>36</v>
      </c>
      <c r="M189" s="12">
        <v>24</v>
      </c>
      <c r="O189" s="12">
        <f t="shared" si="123"/>
        <v>122</v>
      </c>
      <c r="P189" s="12">
        <f t="shared" si="124"/>
        <v>101</v>
      </c>
      <c r="Q189" s="12" t="str">
        <f t="shared" si="125"/>
        <v>HW</v>
      </c>
      <c r="R189" s="12" t="str">
        <f t="shared" si="126"/>
        <v>HW</v>
      </c>
      <c r="S189" s="12" t="str">
        <f t="shared" si="127"/>
        <v>HL</v>
      </c>
      <c r="T189" s="12" t="str">
        <f t="shared" si="128"/>
        <v>HW</v>
      </c>
      <c r="U189" s="12" t="str">
        <f t="shared" si="129"/>
        <v>O</v>
      </c>
      <c r="V189" s="12" t="str">
        <f t="shared" si="130"/>
        <v>U</v>
      </c>
      <c r="W189" s="12" t="str">
        <f t="shared" si="131"/>
        <v>O</v>
      </c>
      <c r="X189" s="12" t="str">
        <f t="shared" si="122"/>
        <v>U</v>
      </c>
      <c r="Z189" s="12">
        <v>56.5</v>
      </c>
      <c r="AA189" s="12" t="str">
        <f t="shared" si="132"/>
        <v>LAL/ATL</v>
      </c>
    </row>
    <row r="190" spans="1:27" ht="17.100000000000001" x14ac:dyDescent="0.45">
      <c r="A190" s="12">
        <v>191119</v>
      </c>
      <c r="B190" s="1">
        <v>0.375</v>
      </c>
      <c r="C190" t="s">
        <v>47</v>
      </c>
      <c r="D190" t="s">
        <v>224</v>
      </c>
      <c r="E190" s="12">
        <v>32</v>
      </c>
      <c r="F190" s="12">
        <v>32</v>
      </c>
      <c r="G190" s="12">
        <v>30</v>
      </c>
      <c r="H190" s="12">
        <v>29</v>
      </c>
      <c r="I190" s="12"/>
      <c r="J190" s="12">
        <v>20</v>
      </c>
      <c r="K190" s="12">
        <v>31</v>
      </c>
      <c r="L190" s="12">
        <v>20</v>
      </c>
      <c r="M190" s="12">
        <v>34</v>
      </c>
      <c r="O190" s="12">
        <f t="shared" si="123"/>
        <v>123</v>
      </c>
      <c r="P190" s="12">
        <f t="shared" si="124"/>
        <v>105</v>
      </c>
      <c r="Q190" s="12" t="str">
        <f t="shared" si="125"/>
        <v>HW</v>
      </c>
      <c r="R190" s="12" t="str">
        <f t="shared" si="126"/>
        <v>HW</v>
      </c>
      <c r="S190" s="12" t="str">
        <f t="shared" si="127"/>
        <v>HW</v>
      </c>
      <c r="T190" s="12" t="str">
        <f t="shared" si="128"/>
        <v>HL</v>
      </c>
      <c r="U190" s="12" t="str">
        <f t="shared" si="129"/>
        <v>T</v>
      </c>
      <c r="V190" s="12" t="str">
        <f t="shared" si="130"/>
        <v>O</v>
      </c>
      <c r="W190" s="12" t="str">
        <f t="shared" si="131"/>
        <v>U</v>
      </c>
      <c r="X190" s="12" t="str">
        <f t="shared" si="122"/>
        <v>O</v>
      </c>
      <c r="Z190" s="12">
        <v>52</v>
      </c>
      <c r="AA190" s="12" t="str">
        <f t="shared" si="132"/>
        <v>NYK/CLE</v>
      </c>
    </row>
    <row r="191" spans="1:27" ht="17.100000000000001" x14ac:dyDescent="0.45">
      <c r="A191" s="12">
        <v>191119</v>
      </c>
      <c r="B191" s="1">
        <v>0.39583333333333331</v>
      </c>
      <c r="C191" t="s">
        <v>235</v>
      </c>
      <c r="D191" t="s">
        <v>35</v>
      </c>
      <c r="E191" s="12">
        <v>18</v>
      </c>
      <c r="F191" s="12">
        <v>17</v>
      </c>
      <c r="G191" s="12">
        <v>33</v>
      </c>
      <c r="H191" s="12">
        <v>18</v>
      </c>
      <c r="I191" s="12"/>
      <c r="J191" s="12">
        <v>18</v>
      </c>
      <c r="K191" s="12">
        <v>41</v>
      </c>
      <c r="L191" s="12">
        <v>25</v>
      </c>
      <c r="M191" s="12">
        <v>31</v>
      </c>
      <c r="O191" s="12">
        <f t="shared" si="123"/>
        <v>86</v>
      </c>
      <c r="P191" s="12">
        <f t="shared" si="124"/>
        <v>115</v>
      </c>
      <c r="Q191" s="12" t="str">
        <f t="shared" si="125"/>
        <v>TT</v>
      </c>
      <c r="R191" s="12" t="str">
        <f t="shared" si="126"/>
        <v>HL</v>
      </c>
      <c r="S191" s="12" t="str">
        <f t="shared" si="127"/>
        <v>HW</v>
      </c>
      <c r="T191" s="12" t="str">
        <f t="shared" si="128"/>
        <v>HL</v>
      </c>
      <c r="U191" s="12" t="str">
        <f t="shared" si="129"/>
        <v>U</v>
      </c>
      <c r="V191" s="12" t="str">
        <f t="shared" si="130"/>
        <v>O</v>
      </c>
      <c r="W191" s="12" t="str">
        <f t="shared" si="131"/>
        <v>O</v>
      </c>
      <c r="X191" s="12" t="str">
        <f t="shared" si="122"/>
        <v>U</v>
      </c>
      <c r="Z191" s="12">
        <v>55</v>
      </c>
      <c r="AA191" s="12" t="str">
        <f t="shared" si="132"/>
        <v>BKN/IND</v>
      </c>
    </row>
    <row r="192" spans="1:27" ht="17.100000000000001" x14ac:dyDescent="0.45">
      <c r="A192" s="12">
        <v>191119</v>
      </c>
      <c r="B192" s="1">
        <v>0.39583333333333331</v>
      </c>
      <c r="C192" t="s">
        <v>236</v>
      </c>
      <c r="D192" t="s">
        <v>237</v>
      </c>
      <c r="E192" s="12">
        <v>26</v>
      </c>
      <c r="F192" s="12">
        <v>34</v>
      </c>
      <c r="G192" s="12">
        <v>32</v>
      </c>
      <c r="H192" s="12">
        <v>40</v>
      </c>
      <c r="I192" s="12"/>
      <c r="J192" s="12">
        <v>25</v>
      </c>
      <c r="K192" s="12">
        <v>31</v>
      </c>
      <c r="L192" s="12">
        <v>18</v>
      </c>
      <c r="M192" s="12">
        <v>22</v>
      </c>
      <c r="O192" s="12">
        <f t="shared" si="123"/>
        <v>132</v>
      </c>
      <c r="P192" s="12">
        <f t="shared" si="124"/>
        <v>96</v>
      </c>
      <c r="Q192" s="12" t="str">
        <f t="shared" si="125"/>
        <v>HW</v>
      </c>
      <c r="R192" s="12" t="str">
        <f t="shared" si="126"/>
        <v>HW</v>
      </c>
      <c r="S192" s="12" t="str">
        <f t="shared" si="127"/>
        <v>HW</v>
      </c>
      <c r="T192" s="12" t="str">
        <f t="shared" si="128"/>
        <v>HW</v>
      </c>
      <c r="U192" s="12" t="str">
        <f t="shared" si="129"/>
        <v>U</v>
      </c>
      <c r="V192" s="12" t="str">
        <f t="shared" si="130"/>
        <v>O</v>
      </c>
      <c r="W192" s="12" t="str">
        <f t="shared" si="131"/>
        <v>U</v>
      </c>
      <c r="X192" s="12" t="str">
        <f t="shared" si="122"/>
        <v>O</v>
      </c>
      <c r="Z192" s="12">
        <v>55.5</v>
      </c>
      <c r="AA192" s="12" t="str">
        <f t="shared" si="132"/>
        <v>TOR/CHA</v>
      </c>
    </row>
    <row r="193" spans="1:27" ht="17.100000000000001" x14ac:dyDescent="0.45">
      <c r="A193" s="12">
        <v>191119</v>
      </c>
      <c r="B193" s="1">
        <v>0.41666666666666669</v>
      </c>
      <c r="C193" t="s">
        <v>238</v>
      </c>
      <c r="D193" t="s">
        <v>239</v>
      </c>
      <c r="E193" s="12">
        <v>26</v>
      </c>
      <c r="F193" s="12">
        <v>30</v>
      </c>
      <c r="G193" s="12">
        <v>25</v>
      </c>
      <c r="H193" s="12">
        <v>20</v>
      </c>
      <c r="I193" s="12"/>
      <c r="J193" s="12">
        <v>29</v>
      </c>
      <c r="K193" s="12">
        <v>31</v>
      </c>
      <c r="L193" s="12">
        <v>24</v>
      </c>
      <c r="M193" s="12">
        <v>31</v>
      </c>
      <c r="O193" s="12">
        <f t="shared" si="123"/>
        <v>101</v>
      </c>
      <c r="P193" s="12">
        <f t="shared" si="124"/>
        <v>115</v>
      </c>
      <c r="Q193" s="12" t="str">
        <f t="shared" si="125"/>
        <v>HL</v>
      </c>
      <c r="R193" s="12" t="str">
        <f t="shared" si="126"/>
        <v>HL</v>
      </c>
      <c r="S193" s="12" t="str">
        <f t="shared" si="127"/>
        <v>HW</v>
      </c>
      <c r="T193" s="12" t="str">
        <f t="shared" si="128"/>
        <v>HL</v>
      </c>
      <c r="U193" s="12" t="str">
        <f t="shared" si="129"/>
        <v>U</v>
      </c>
      <c r="V193" s="12" t="str">
        <f t="shared" si="130"/>
        <v>O</v>
      </c>
      <c r="W193" s="12" t="str">
        <f t="shared" si="131"/>
        <v>U</v>
      </c>
      <c r="X193" s="12" t="str">
        <f t="shared" si="122"/>
        <v>U</v>
      </c>
      <c r="Z193" s="12">
        <v>56</v>
      </c>
      <c r="AA193" s="12" t="str">
        <f t="shared" si="132"/>
        <v>CHI/MIL</v>
      </c>
    </row>
    <row r="194" spans="1:27" ht="17.100000000000001" x14ac:dyDescent="0.45">
      <c r="A194" s="12">
        <v>191119</v>
      </c>
      <c r="B194" s="1">
        <v>0.41666666666666669</v>
      </c>
      <c r="C194" t="s">
        <v>240</v>
      </c>
      <c r="D194" t="s">
        <v>241</v>
      </c>
      <c r="E194" s="12">
        <v>29</v>
      </c>
      <c r="F194" s="12">
        <v>35</v>
      </c>
      <c r="G194" s="12">
        <v>35</v>
      </c>
      <c r="H194" s="12">
        <v>33</v>
      </c>
      <c r="I194" s="12"/>
      <c r="J194" s="12">
        <v>30</v>
      </c>
      <c r="K194" s="12">
        <v>20</v>
      </c>
      <c r="L194" s="12">
        <v>26</v>
      </c>
      <c r="M194" s="12">
        <v>32</v>
      </c>
      <c r="O194" s="12">
        <f t="shared" si="123"/>
        <v>132</v>
      </c>
      <c r="P194" s="12">
        <f t="shared" si="124"/>
        <v>108</v>
      </c>
      <c r="Q194" s="12" t="str">
        <f t="shared" si="125"/>
        <v>HL</v>
      </c>
      <c r="R194" s="12" t="str">
        <f t="shared" si="126"/>
        <v>HW</v>
      </c>
      <c r="S194" s="12" t="str">
        <f t="shared" si="127"/>
        <v>HW</v>
      </c>
      <c r="T194" s="12" t="str">
        <f t="shared" si="128"/>
        <v>HW</v>
      </c>
      <c r="U194" s="12" t="str">
        <f t="shared" si="129"/>
        <v>O</v>
      </c>
      <c r="V194" s="12" t="str">
        <f t="shared" si="130"/>
        <v>U</v>
      </c>
      <c r="W194" s="12" t="str">
        <f t="shared" si="131"/>
        <v>O</v>
      </c>
      <c r="X194" s="12" t="str">
        <f t="shared" si="122"/>
        <v>O</v>
      </c>
      <c r="Z194" s="12">
        <v>56.5</v>
      </c>
      <c r="AA194" s="12" t="str">
        <f t="shared" si="132"/>
        <v>HOU/POR</v>
      </c>
    </row>
    <row r="195" spans="1:27" ht="17.100000000000001" x14ac:dyDescent="0.45">
      <c r="A195" s="12">
        <v>191119</v>
      </c>
      <c r="B195" s="1">
        <v>0.4375</v>
      </c>
      <c r="C195" t="s">
        <v>33</v>
      </c>
      <c r="D195" t="s">
        <v>242</v>
      </c>
      <c r="E195" s="12">
        <v>36</v>
      </c>
      <c r="F195" s="12">
        <v>23</v>
      </c>
      <c r="G195" s="12">
        <v>34</v>
      </c>
      <c r="H195" s="12">
        <v>24</v>
      </c>
      <c r="I195" s="12"/>
      <c r="J195" s="12">
        <v>22</v>
      </c>
      <c r="K195" s="12">
        <v>27</v>
      </c>
      <c r="L195" s="12">
        <v>30</v>
      </c>
      <c r="M195" s="12">
        <v>31</v>
      </c>
      <c r="O195" s="12">
        <f t="shared" si="123"/>
        <v>117</v>
      </c>
      <c r="P195" s="12">
        <f t="shared" si="124"/>
        <v>110</v>
      </c>
      <c r="Q195" s="12" t="str">
        <f t="shared" si="125"/>
        <v>HW</v>
      </c>
      <c r="R195" s="12" t="str">
        <f t="shared" si="126"/>
        <v>HL</v>
      </c>
      <c r="S195" s="12" t="str">
        <f t="shared" si="127"/>
        <v>HW</v>
      </c>
      <c r="T195" s="12" t="str">
        <f t="shared" si="128"/>
        <v>HL</v>
      </c>
      <c r="U195" s="12" t="str">
        <f t="shared" si="129"/>
        <v>O</v>
      </c>
      <c r="V195" s="12" t="str">
        <f t="shared" si="130"/>
        <v>U</v>
      </c>
      <c r="W195" s="12" t="str">
        <f t="shared" si="131"/>
        <v>O</v>
      </c>
      <c r="X195" s="12" t="str">
        <f t="shared" si="122"/>
        <v>U</v>
      </c>
      <c r="Z195" s="12">
        <v>55.5</v>
      </c>
      <c r="AA195" s="12" t="str">
        <f t="shared" si="132"/>
        <v>DAL/SAS</v>
      </c>
    </row>
    <row r="196" spans="1:27" ht="17.100000000000001" x14ac:dyDescent="0.45">
      <c r="A196" s="12">
        <v>191119</v>
      </c>
      <c r="B196" s="1">
        <v>0.45833333333333331</v>
      </c>
      <c r="C196" t="s">
        <v>243</v>
      </c>
      <c r="D196" t="s">
        <v>227</v>
      </c>
      <c r="E196" s="12">
        <v>22</v>
      </c>
      <c r="F196" s="12">
        <v>20</v>
      </c>
      <c r="G196" s="12">
        <v>23</v>
      </c>
      <c r="H196" s="12">
        <v>20</v>
      </c>
      <c r="I196" s="12"/>
      <c r="J196" s="12">
        <v>26</v>
      </c>
      <c r="K196" s="12">
        <v>31</v>
      </c>
      <c r="L196" s="12">
        <v>23</v>
      </c>
      <c r="M196" s="12">
        <v>19</v>
      </c>
      <c r="O196" s="12">
        <f t="shared" si="123"/>
        <v>85</v>
      </c>
      <c r="P196" s="12">
        <f t="shared" si="124"/>
        <v>99</v>
      </c>
      <c r="Q196" s="12" t="str">
        <f t="shared" si="125"/>
        <v>HL</v>
      </c>
      <c r="R196" s="12" t="str">
        <f t="shared" si="126"/>
        <v>HL</v>
      </c>
      <c r="S196" s="12" t="str">
        <f t="shared" si="127"/>
        <v>TT</v>
      </c>
      <c r="T196" s="12" t="str">
        <f t="shared" si="128"/>
        <v>HW</v>
      </c>
      <c r="U196" s="12" t="str">
        <f t="shared" si="129"/>
        <v>U</v>
      </c>
      <c r="V196" s="12" t="str">
        <f t="shared" si="130"/>
        <v>U</v>
      </c>
      <c r="W196" s="12" t="str">
        <f t="shared" si="131"/>
        <v>U</v>
      </c>
      <c r="X196" s="12" t="str">
        <f t="shared" si="122"/>
        <v>U</v>
      </c>
      <c r="Z196" s="12">
        <v>55.5</v>
      </c>
      <c r="AA196" s="12" t="str">
        <f t="shared" si="132"/>
        <v>PHO/BOS</v>
      </c>
    </row>
    <row r="197" spans="1:27" ht="17.100000000000001" x14ac:dyDescent="0.45">
      <c r="A197" s="12">
        <v>191119</v>
      </c>
      <c r="B197" s="1">
        <v>0.45833333333333331</v>
      </c>
      <c r="C197" t="s">
        <v>244</v>
      </c>
      <c r="D197" t="s">
        <v>245</v>
      </c>
      <c r="E197" s="12">
        <v>32</v>
      </c>
      <c r="F197" s="12">
        <v>24</v>
      </c>
      <c r="G197" s="12">
        <v>22</v>
      </c>
      <c r="H197" s="12">
        <v>24</v>
      </c>
      <c r="I197" s="12"/>
      <c r="J197" s="12">
        <v>36</v>
      </c>
      <c r="K197" s="12">
        <v>23</v>
      </c>
      <c r="L197" s="12">
        <v>17</v>
      </c>
      <c r="M197" s="12">
        <v>36</v>
      </c>
      <c r="O197" s="12">
        <f t="shared" si="123"/>
        <v>102</v>
      </c>
      <c r="P197" s="12">
        <f t="shared" si="124"/>
        <v>112</v>
      </c>
      <c r="Q197" s="12" t="str">
        <f t="shared" si="125"/>
        <v>HL</v>
      </c>
      <c r="R197" s="12" t="str">
        <f t="shared" si="126"/>
        <v>HW</v>
      </c>
      <c r="S197" s="12" t="str">
        <f t="shared" si="127"/>
        <v>HW</v>
      </c>
      <c r="T197" s="12" t="str">
        <f t="shared" si="128"/>
        <v>HL</v>
      </c>
      <c r="U197" s="12" t="str">
        <f t="shared" si="129"/>
        <v>O</v>
      </c>
      <c r="V197" s="12" t="str">
        <f t="shared" si="130"/>
        <v>U</v>
      </c>
      <c r="W197" s="12" t="str">
        <f t="shared" si="131"/>
        <v>U</v>
      </c>
      <c r="X197" s="12" t="str">
        <f t="shared" si="122"/>
        <v>O</v>
      </c>
      <c r="Z197" s="12">
        <v>56</v>
      </c>
      <c r="AA197" s="12" t="str">
        <f t="shared" si="132"/>
        <v>UTA/MIN</v>
      </c>
    </row>
    <row r="198" spans="1:27" ht="17.100000000000001" x14ac:dyDescent="0.45">
      <c r="A198" s="12">
        <v>191119</v>
      </c>
      <c r="B198" s="1">
        <v>0.52083333333333337</v>
      </c>
      <c r="C198" t="s">
        <v>246</v>
      </c>
      <c r="D198" t="s">
        <v>247</v>
      </c>
      <c r="E198" s="12">
        <v>23</v>
      </c>
      <c r="F198" s="12">
        <v>19</v>
      </c>
      <c r="G198" s="12">
        <v>24</v>
      </c>
      <c r="H198" s="12">
        <v>24</v>
      </c>
      <c r="I198" s="12"/>
      <c r="J198" s="12">
        <v>17</v>
      </c>
      <c r="K198" s="12">
        <v>30</v>
      </c>
      <c r="L198" s="12">
        <v>17</v>
      </c>
      <c r="M198" s="12">
        <v>24</v>
      </c>
      <c r="O198" s="12">
        <f t="shared" si="123"/>
        <v>90</v>
      </c>
      <c r="P198" s="12">
        <f t="shared" si="124"/>
        <v>88</v>
      </c>
      <c r="Q198" s="12" t="str">
        <f t="shared" si="125"/>
        <v>HW</v>
      </c>
      <c r="R198" s="12" t="str">
        <f t="shared" si="126"/>
        <v>HL</v>
      </c>
      <c r="S198" s="12" t="str">
        <f t="shared" si="127"/>
        <v>HW</v>
      </c>
      <c r="T198" s="12" t="str">
        <f t="shared" si="128"/>
        <v>TT</v>
      </c>
      <c r="U198" s="12" t="str">
        <f t="shared" si="129"/>
        <v>U</v>
      </c>
      <c r="V198" s="12" t="str">
        <f t="shared" si="130"/>
        <v>U</v>
      </c>
      <c r="W198" s="12" t="str">
        <f t="shared" si="131"/>
        <v>U</v>
      </c>
      <c r="X198" s="12" t="str">
        <f t="shared" si="122"/>
        <v>U</v>
      </c>
      <c r="Z198" s="12">
        <v>57</v>
      </c>
      <c r="AA198" s="12" t="str">
        <f t="shared" si="132"/>
        <v>LAC/OKC</v>
      </c>
    </row>
    <row r="199" spans="1:27" ht="17.100000000000001" x14ac:dyDescent="0.45">
      <c r="A199" s="12">
        <v>191120</v>
      </c>
      <c r="B199" s="1">
        <v>0.41666666666666669</v>
      </c>
      <c r="C199" t="s">
        <v>231</v>
      </c>
      <c r="D199" t="s">
        <v>241</v>
      </c>
      <c r="E199" s="12">
        <v>27</v>
      </c>
      <c r="F199" s="12">
        <v>26</v>
      </c>
      <c r="G199" s="12">
        <v>35</v>
      </c>
      <c r="H199" s="12">
        <v>27</v>
      </c>
      <c r="I199" s="12"/>
      <c r="J199" s="12">
        <v>28</v>
      </c>
      <c r="K199" s="12">
        <v>26</v>
      </c>
      <c r="L199" s="12">
        <v>25</v>
      </c>
      <c r="M199" s="12">
        <v>25</v>
      </c>
      <c r="O199" s="12">
        <f t="shared" si="123"/>
        <v>115</v>
      </c>
      <c r="P199" s="12">
        <f t="shared" si="124"/>
        <v>104</v>
      </c>
      <c r="Q199" s="12" t="str">
        <f t="shared" si="125"/>
        <v>HL</v>
      </c>
      <c r="R199" s="12" t="str">
        <f t="shared" si="126"/>
        <v>TT</v>
      </c>
      <c r="S199" s="12" t="str">
        <f t="shared" si="127"/>
        <v>HW</v>
      </c>
      <c r="T199" s="12" t="str">
        <f t="shared" si="128"/>
        <v>HW</v>
      </c>
      <c r="U199" s="12" t="str">
        <f t="shared" si="129"/>
        <v>U</v>
      </c>
      <c r="V199" s="12" t="str">
        <f t="shared" si="130"/>
        <v>U</v>
      </c>
      <c r="W199" s="12" t="str">
        <f t="shared" si="131"/>
        <v>O</v>
      </c>
      <c r="X199" s="12" t="str">
        <f t="shared" si="122"/>
        <v>U</v>
      </c>
      <c r="Z199" s="12">
        <v>56.5</v>
      </c>
      <c r="AA199" s="12" t="str">
        <f t="shared" si="132"/>
        <v>NO/POR</v>
      </c>
    </row>
    <row r="200" spans="1:27" ht="17.100000000000001" x14ac:dyDescent="0.45">
      <c r="A200" s="12">
        <v>191120</v>
      </c>
      <c r="B200" s="1">
        <v>0.41666666666666669</v>
      </c>
      <c r="C200" t="s">
        <v>229</v>
      </c>
      <c r="D200" t="s">
        <v>232</v>
      </c>
      <c r="E200" s="12">
        <v>30</v>
      </c>
      <c r="F200" s="12">
        <v>16</v>
      </c>
      <c r="G200" s="12">
        <v>26</v>
      </c>
      <c r="H200" s="12">
        <v>23</v>
      </c>
      <c r="I200" s="12"/>
      <c r="J200" s="12">
        <v>28</v>
      </c>
      <c r="K200" s="12">
        <v>33</v>
      </c>
      <c r="L200" s="12">
        <v>22</v>
      </c>
      <c r="M200" s="12">
        <v>31</v>
      </c>
      <c r="O200" s="12">
        <f t="shared" si="123"/>
        <v>95</v>
      </c>
      <c r="P200" s="12">
        <f t="shared" si="124"/>
        <v>114</v>
      </c>
      <c r="Q200" s="12" t="str">
        <f t="shared" si="125"/>
        <v>HW</v>
      </c>
      <c r="R200" s="12" t="str">
        <f t="shared" si="126"/>
        <v>HL</v>
      </c>
      <c r="S200" s="12" t="str">
        <f t="shared" si="127"/>
        <v>HW</v>
      </c>
      <c r="T200" s="12" t="str">
        <f t="shared" si="128"/>
        <v>HL</v>
      </c>
      <c r="U200" s="12" t="str">
        <f t="shared" si="129"/>
        <v>O</v>
      </c>
      <c r="V200" s="12" t="str">
        <f t="shared" si="130"/>
        <v>U</v>
      </c>
      <c r="W200" s="12" t="str">
        <f t="shared" si="131"/>
        <v>U</v>
      </c>
      <c r="X200" s="12" t="str">
        <f t="shared" si="122"/>
        <v>U</v>
      </c>
      <c r="Z200" s="12">
        <v>57</v>
      </c>
      <c r="AA200" s="12" t="str">
        <f t="shared" si="132"/>
        <v>MEM/GS</v>
      </c>
    </row>
    <row r="201" spans="1:27" ht="17.100000000000001" x14ac:dyDescent="0.45">
      <c r="A201" s="12">
        <v>191120</v>
      </c>
      <c r="B201" s="1">
        <v>0.5</v>
      </c>
      <c r="C201" t="s">
        <v>226</v>
      </c>
      <c r="D201" t="s">
        <v>243</v>
      </c>
      <c r="E201" s="12">
        <v>33</v>
      </c>
      <c r="F201" s="12">
        <v>29</v>
      </c>
      <c r="G201" s="12">
        <v>25</v>
      </c>
      <c r="H201" s="12">
        <v>33</v>
      </c>
      <c r="I201" s="12"/>
      <c r="J201" s="12">
        <v>19</v>
      </c>
      <c r="K201" s="12">
        <v>26</v>
      </c>
      <c r="L201" s="12">
        <v>30</v>
      </c>
      <c r="M201" s="12">
        <v>41</v>
      </c>
      <c r="O201" s="12">
        <f t="shared" si="123"/>
        <v>120</v>
      </c>
      <c r="P201" s="12">
        <f t="shared" si="124"/>
        <v>116</v>
      </c>
      <c r="Q201" s="12" t="str">
        <f t="shared" si="125"/>
        <v>HW</v>
      </c>
      <c r="R201" s="12" t="str">
        <f t="shared" si="126"/>
        <v>HW</v>
      </c>
      <c r="S201" s="12" t="str">
        <f t="shared" si="127"/>
        <v>HL</v>
      </c>
      <c r="T201" s="12" t="str">
        <f t="shared" si="128"/>
        <v>HL</v>
      </c>
      <c r="U201" s="12" t="str">
        <f t="shared" si="129"/>
        <v>U</v>
      </c>
      <c r="V201" s="12" t="str">
        <f t="shared" si="130"/>
        <v>O</v>
      </c>
      <c r="W201" s="12" t="str">
        <f t="shared" si="131"/>
        <v>O</v>
      </c>
      <c r="X201" s="12" t="str">
        <f t="shared" si="122"/>
        <v>O</v>
      </c>
      <c r="Z201" s="12">
        <v>53.5</v>
      </c>
      <c r="AA201" s="12" t="str">
        <f t="shared" si="132"/>
        <v>SAC/PHO</v>
      </c>
    </row>
    <row r="202" spans="1:27" ht="17.100000000000001" x14ac:dyDescent="0.45">
      <c r="A202" s="12">
        <v>191120</v>
      </c>
      <c r="B202" s="1">
        <v>0.52083333333333337</v>
      </c>
      <c r="C202" t="s">
        <v>233</v>
      </c>
      <c r="D202" t="s">
        <v>247</v>
      </c>
      <c r="E202" s="12">
        <v>33</v>
      </c>
      <c r="F202" s="12">
        <v>30</v>
      </c>
      <c r="G202" s="12">
        <v>30</v>
      </c>
      <c r="H202" s="12">
        <v>19</v>
      </c>
      <c r="I202" s="12"/>
      <c r="J202" s="12">
        <v>28</v>
      </c>
      <c r="K202" s="12">
        <v>25</v>
      </c>
      <c r="L202" s="12">
        <v>34</v>
      </c>
      <c r="M202" s="12">
        <v>20</v>
      </c>
      <c r="O202" s="12">
        <f t="shared" si="123"/>
        <v>112</v>
      </c>
      <c r="P202" s="12">
        <f t="shared" si="124"/>
        <v>107</v>
      </c>
      <c r="Q202" s="12" t="str">
        <f t="shared" si="125"/>
        <v>HW</v>
      </c>
      <c r="R202" s="12" t="str">
        <f t="shared" si="126"/>
        <v>HW</v>
      </c>
      <c r="S202" s="12" t="str">
        <f t="shared" si="127"/>
        <v>HL</v>
      </c>
      <c r="T202" s="12" t="str">
        <f t="shared" si="128"/>
        <v>HL</v>
      </c>
      <c r="U202" s="12" t="str">
        <f t="shared" si="129"/>
        <v>O</v>
      </c>
      <c r="V202" s="12" t="str">
        <f t="shared" si="130"/>
        <v>O</v>
      </c>
      <c r="W202" s="12" t="str">
        <f t="shared" si="131"/>
        <v>O</v>
      </c>
      <c r="X202" s="12" t="str">
        <f t="shared" si="122"/>
        <v>U</v>
      </c>
      <c r="Z202" s="12">
        <v>54</v>
      </c>
      <c r="AA202" s="12" t="str">
        <f t="shared" si="132"/>
        <v>LAL/OKC</v>
      </c>
    </row>
    <row r="203" spans="1:27" ht="17.100000000000001" x14ac:dyDescent="0.45">
      <c r="A203" s="12">
        <v>191121</v>
      </c>
      <c r="B203" s="1">
        <v>0.375</v>
      </c>
      <c r="C203" t="s">
        <v>225</v>
      </c>
      <c r="D203" t="s">
        <v>248</v>
      </c>
      <c r="E203" s="12">
        <v>27</v>
      </c>
      <c r="F203" s="12">
        <v>26</v>
      </c>
      <c r="G203" s="12">
        <v>21</v>
      </c>
      <c r="H203" s="12">
        <v>35</v>
      </c>
      <c r="I203" s="12"/>
      <c r="J203" s="12">
        <v>25</v>
      </c>
      <c r="K203" s="12">
        <v>26</v>
      </c>
      <c r="L203" s="12">
        <v>28</v>
      </c>
      <c r="M203" s="12">
        <v>25</v>
      </c>
      <c r="N203" s="12"/>
      <c r="O203" s="12">
        <f t="shared" ref="O203:O213" si="133">SUM(E203:I203)</f>
        <v>109</v>
      </c>
      <c r="P203" s="12">
        <f t="shared" ref="P203:P213" si="134">SUM(J203:N203)</f>
        <v>104</v>
      </c>
      <c r="Q203" s="12" t="str">
        <f t="shared" ref="Q203:Q213" si="135">IF(E203=J203,"TT",IF(E203&gt;J203,"HW","HL"))</f>
        <v>HW</v>
      </c>
      <c r="R203" s="12" t="str">
        <f t="shared" ref="R203:R213" si="136">IF(F203=K203,"TT",IF(F203&gt;K203,"HW","HL"))</f>
        <v>TT</v>
      </c>
      <c r="S203" s="12" t="str">
        <f t="shared" ref="S203:S213" si="137">IF(G203=L203,"TT",IF(G203&gt;L203,"HW","HL"))</f>
        <v>HL</v>
      </c>
      <c r="T203" s="12" t="str">
        <f t="shared" ref="T203:T213" si="138">IF(H203=M203,"TT",IF(H203&gt;M203,"HW","HL"))</f>
        <v>HW</v>
      </c>
      <c r="U203" s="12" t="str">
        <f t="shared" ref="U203:U213" si="139">IF(SUM(E203,J203)=$Z203,"T",IF(SUM(E203,J203)&gt;$Z203,"O","U"))</f>
        <v>U</v>
      </c>
      <c r="V203" s="12" t="str">
        <f t="shared" ref="V203:V213" si="140">IF(SUM(F203,K203)=$Z203,"T",IF(SUM(F203,K203)&gt;$Z203,"O","U"))</f>
        <v>U</v>
      </c>
      <c r="W203" s="12" t="str">
        <f t="shared" ref="W203:W213" si="141">IF(SUM(G203,L203)=$Z203,"T",IF(SUM(G203,L203)&gt;$Z203,"O","U"))</f>
        <v>U</v>
      </c>
      <c r="X203" s="12" t="str">
        <f t="shared" ref="X203:X213" si="142">IF(SUM(H203,M203)=$Z203,"T",IF(SUM(H203,M203)&gt;$Z203,"O","U"))</f>
        <v>O</v>
      </c>
      <c r="Z203" s="12">
        <v>54.5</v>
      </c>
      <c r="AA203" s="12" t="str">
        <f t="shared" si="132"/>
        <v>PHI/NYK</v>
      </c>
    </row>
    <row r="204" spans="1:27" ht="17.100000000000001" x14ac:dyDescent="0.45">
      <c r="A204" s="12">
        <v>191121</v>
      </c>
      <c r="B204" s="1">
        <v>0.375</v>
      </c>
      <c r="C204" t="s">
        <v>249</v>
      </c>
      <c r="D204" t="s">
        <v>242</v>
      </c>
      <c r="E204" s="12">
        <v>35</v>
      </c>
      <c r="F204" s="12">
        <v>28</v>
      </c>
      <c r="G204" s="12">
        <v>38</v>
      </c>
      <c r="H204" s="12">
        <v>37</v>
      </c>
      <c r="I204" s="12"/>
      <c r="J204" s="12">
        <v>38</v>
      </c>
      <c r="K204" s="12">
        <v>31</v>
      </c>
      <c r="L204" s="12">
        <v>29</v>
      </c>
      <c r="M204" s="12">
        <v>34</v>
      </c>
      <c r="N204" s="12"/>
      <c r="O204" s="12">
        <f t="shared" si="133"/>
        <v>138</v>
      </c>
      <c r="P204" s="12">
        <f t="shared" si="134"/>
        <v>132</v>
      </c>
      <c r="Q204" s="12" t="str">
        <f t="shared" si="135"/>
        <v>HL</v>
      </c>
      <c r="R204" s="12" t="str">
        <f t="shared" si="136"/>
        <v>HL</v>
      </c>
      <c r="S204" s="12" t="str">
        <f t="shared" si="137"/>
        <v>HW</v>
      </c>
      <c r="T204" s="12" t="str">
        <f t="shared" si="138"/>
        <v>HW</v>
      </c>
      <c r="U204" s="12" t="str">
        <f t="shared" si="139"/>
        <v>O</v>
      </c>
      <c r="V204" s="12" t="str">
        <f t="shared" si="140"/>
        <v>O</v>
      </c>
      <c r="W204" s="12" t="str">
        <f t="shared" si="141"/>
        <v>O</v>
      </c>
      <c r="X204" s="12" t="str">
        <f t="shared" si="142"/>
        <v>O</v>
      </c>
      <c r="Z204" s="12">
        <v>58</v>
      </c>
      <c r="AA204" s="12" t="str">
        <f t="shared" si="132"/>
        <v>WAS/SAS</v>
      </c>
    </row>
    <row r="205" spans="1:27" ht="17.100000000000001" x14ac:dyDescent="0.45">
      <c r="A205" s="12">
        <v>191121</v>
      </c>
      <c r="B205" s="1">
        <v>0.39583333333333331</v>
      </c>
      <c r="C205" t="s">
        <v>234</v>
      </c>
      <c r="D205" t="s">
        <v>239</v>
      </c>
      <c r="E205" s="12">
        <v>26</v>
      </c>
      <c r="F205" s="12">
        <v>35</v>
      </c>
      <c r="G205" s="12">
        <v>22</v>
      </c>
      <c r="H205" s="12">
        <v>44</v>
      </c>
      <c r="I205" s="12"/>
      <c r="J205" s="12">
        <v>34</v>
      </c>
      <c r="K205" s="12">
        <v>24</v>
      </c>
      <c r="L205" s="12">
        <v>38</v>
      </c>
      <c r="M205" s="12">
        <v>39</v>
      </c>
      <c r="N205" s="12"/>
      <c r="O205" s="12">
        <f t="shared" si="133"/>
        <v>127</v>
      </c>
      <c r="P205" s="12">
        <f t="shared" si="134"/>
        <v>135</v>
      </c>
      <c r="Q205" s="12" t="str">
        <f t="shared" si="135"/>
        <v>HL</v>
      </c>
      <c r="R205" s="12" t="str">
        <f t="shared" si="136"/>
        <v>HW</v>
      </c>
      <c r="S205" s="12" t="str">
        <f t="shared" si="137"/>
        <v>HL</v>
      </c>
      <c r="T205" s="12" t="str">
        <f t="shared" si="138"/>
        <v>HW</v>
      </c>
      <c r="U205" s="12" t="str">
        <f t="shared" si="139"/>
        <v>O</v>
      </c>
      <c r="V205" s="12" t="str">
        <f t="shared" si="140"/>
        <v>O</v>
      </c>
      <c r="W205" s="12" t="str">
        <f t="shared" si="141"/>
        <v>O</v>
      </c>
      <c r="X205" s="12" t="str">
        <f t="shared" si="142"/>
        <v>O</v>
      </c>
      <c r="Z205" s="12">
        <v>57</v>
      </c>
      <c r="AA205" s="12" t="str">
        <f t="shared" si="132"/>
        <v>ATL/MIL</v>
      </c>
    </row>
    <row r="206" spans="1:27" ht="17.100000000000001" x14ac:dyDescent="0.45">
      <c r="A206" s="12">
        <v>191121</v>
      </c>
      <c r="B206" s="1">
        <v>0.39583333333333331</v>
      </c>
      <c r="C206" t="s">
        <v>250</v>
      </c>
      <c r="D206" t="s">
        <v>232</v>
      </c>
      <c r="E206" s="12">
        <v>44</v>
      </c>
      <c r="F206" s="12">
        <v>30</v>
      </c>
      <c r="G206" s="12">
        <v>30</v>
      </c>
      <c r="H206" s="12">
        <v>38</v>
      </c>
      <c r="I206" s="12"/>
      <c r="J206" s="12">
        <v>16</v>
      </c>
      <c r="K206" s="12">
        <v>22</v>
      </c>
      <c r="L206" s="12">
        <v>26</v>
      </c>
      <c r="M206" s="12">
        <v>30</v>
      </c>
      <c r="N206" s="12"/>
      <c r="O206" s="12">
        <f t="shared" si="133"/>
        <v>142</v>
      </c>
      <c r="P206" s="12">
        <f t="shared" si="134"/>
        <v>94</v>
      </c>
      <c r="Q206" s="12" t="str">
        <f t="shared" si="135"/>
        <v>HW</v>
      </c>
      <c r="R206" s="12" t="str">
        <f t="shared" si="136"/>
        <v>HW</v>
      </c>
      <c r="S206" s="12" t="str">
        <f t="shared" si="137"/>
        <v>HW</v>
      </c>
      <c r="T206" s="12" t="str">
        <f t="shared" si="138"/>
        <v>HW</v>
      </c>
      <c r="U206" s="12" t="str">
        <f t="shared" si="139"/>
        <v>O</v>
      </c>
      <c r="V206" s="12" t="str">
        <f t="shared" si="140"/>
        <v>U</v>
      </c>
      <c r="W206" s="12" t="str">
        <f t="shared" si="141"/>
        <v>T</v>
      </c>
      <c r="X206" s="12" t="str">
        <f t="shared" si="142"/>
        <v>O</v>
      </c>
      <c r="Z206" s="12">
        <v>56</v>
      </c>
      <c r="AA206" s="12" t="str">
        <f t="shared" si="132"/>
        <v>DAL/GS</v>
      </c>
    </row>
    <row r="207" spans="1:27" ht="17.100000000000001" x14ac:dyDescent="0.45">
      <c r="A207" s="12">
        <v>191121</v>
      </c>
      <c r="B207" s="1">
        <v>0.39583333333333331</v>
      </c>
      <c r="C207" t="s">
        <v>251</v>
      </c>
      <c r="D207" t="s">
        <v>224</v>
      </c>
      <c r="E207" s="12">
        <v>32</v>
      </c>
      <c r="F207" s="12">
        <v>43</v>
      </c>
      <c r="G207" s="12">
        <v>24</v>
      </c>
      <c r="H207" s="12">
        <v>25</v>
      </c>
      <c r="I207" s="12"/>
      <c r="J207" s="12">
        <v>22</v>
      </c>
      <c r="K207" s="12">
        <v>26</v>
      </c>
      <c r="L207" s="12">
        <v>29</v>
      </c>
      <c r="M207" s="12">
        <v>23</v>
      </c>
      <c r="N207" s="12"/>
      <c r="O207" s="12">
        <f t="shared" si="133"/>
        <v>124</v>
      </c>
      <c r="P207" s="12">
        <f t="shared" si="134"/>
        <v>100</v>
      </c>
      <c r="Q207" s="12" t="str">
        <f t="shared" si="135"/>
        <v>HW</v>
      </c>
      <c r="R207" s="12" t="str">
        <f t="shared" si="136"/>
        <v>HW</v>
      </c>
      <c r="S207" s="12" t="str">
        <f t="shared" si="137"/>
        <v>HL</v>
      </c>
      <c r="T207" s="12" t="str">
        <f t="shared" si="138"/>
        <v>HW</v>
      </c>
      <c r="U207" s="12" t="str">
        <f t="shared" si="139"/>
        <v>O</v>
      </c>
      <c r="V207" s="12" t="str">
        <f t="shared" si="140"/>
        <v>O</v>
      </c>
      <c r="W207" s="12" t="str">
        <f t="shared" si="141"/>
        <v>O</v>
      </c>
      <c r="X207" s="12" t="str">
        <f t="shared" si="142"/>
        <v>U</v>
      </c>
      <c r="Z207" s="12">
        <v>52.5</v>
      </c>
      <c r="AA207" s="12" t="str">
        <f t="shared" si="132"/>
        <v>MIA/CLE</v>
      </c>
    </row>
    <row r="208" spans="1:27" ht="17.100000000000001" x14ac:dyDescent="0.45">
      <c r="A208" s="12">
        <v>191121</v>
      </c>
      <c r="B208" s="1">
        <v>0.39583333333333331</v>
      </c>
      <c r="C208" t="s">
        <v>235</v>
      </c>
      <c r="D208" t="s">
        <v>237</v>
      </c>
      <c r="E208" s="12">
        <v>26</v>
      </c>
      <c r="F208" s="12">
        <v>30</v>
      </c>
      <c r="G208" s="12">
        <v>26</v>
      </c>
      <c r="H208" s="12">
        <v>19</v>
      </c>
      <c r="I208" s="12"/>
      <c r="J208" s="12">
        <v>26</v>
      </c>
      <c r="K208" s="12">
        <v>25</v>
      </c>
      <c r="L208" s="12">
        <v>22</v>
      </c>
      <c r="M208" s="12">
        <v>18</v>
      </c>
      <c r="N208" s="12"/>
      <c r="O208" s="12">
        <f t="shared" si="133"/>
        <v>101</v>
      </c>
      <c r="P208" s="12">
        <f t="shared" si="134"/>
        <v>91</v>
      </c>
      <c r="Q208" s="12" t="str">
        <f t="shared" si="135"/>
        <v>TT</v>
      </c>
      <c r="R208" s="12" t="str">
        <f t="shared" si="136"/>
        <v>HW</v>
      </c>
      <c r="S208" s="12" t="str">
        <f t="shared" si="137"/>
        <v>HW</v>
      </c>
      <c r="T208" s="12" t="str">
        <f t="shared" si="138"/>
        <v>HW</v>
      </c>
      <c r="U208" s="12" t="str">
        <f t="shared" si="139"/>
        <v>U</v>
      </c>
      <c r="V208" s="12" t="str">
        <f t="shared" si="140"/>
        <v>U</v>
      </c>
      <c r="W208" s="12" t="str">
        <f t="shared" si="141"/>
        <v>U</v>
      </c>
      <c r="X208" s="12" t="str">
        <f t="shared" si="142"/>
        <v>U</v>
      </c>
      <c r="Z208" s="12">
        <v>56</v>
      </c>
      <c r="AA208" s="12" t="str">
        <f t="shared" si="132"/>
        <v>BKN/CHA</v>
      </c>
    </row>
    <row r="209" spans="1:27" ht="17.100000000000001" x14ac:dyDescent="0.45">
      <c r="A209" s="12">
        <v>191121</v>
      </c>
      <c r="B209" s="1">
        <v>0.39583333333333331</v>
      </c>
      <c r="C209" t="s">
        <v>236</v>
      </c>
      <c r="D209" t="s">
        <v>228</v>
      </c>
      <c r="E209" s="12">
        <v>32</v>
      </c>
      <c r="F209" s="12">
        <v>29</v>
      </c>
      <c r="G209" s="12">
        <v>18</v>
      </c>
      <c r="H209" s="12">
        <v>34</v>
      </c>
      <c r="I209" s="12"/>
      <c r="J209" s="12">
        <v>32</v>
      </c>
      <c r="K209" s="12">
        <v>19</v>
      </c>
      <c r="L209" s="12">
        <v>17</v>
      </c>
      <c r="M209" s="12">
        <v>29</v>
      </c>
      <c r="N209" s="12"/>
      <c r="O209" s="12">
        <f t="shared" si="133"/>
        <v>113</v>
      </c>
      <c r="P209" s="12">
        <f t="shared" si="134"/>
        <v>97</v>
      </c>
      <c r="Q209" s="12" t="str">
        <f t="shared" si="135"/>
        <v>TT</v>
      </c>
      <c r="R209" s="12" t="str">
        <f t="shared" si="136"/>
        <v>HW</v>
      </c>
      <c r="S209" s="12" t="str">
        <f t="shared" si="137"/>
        <v>HW</v>
      </c>
      <c r="T209" s="12" t="str">
        <f t="shared" si="138"/>
        <v>HW</v>
      </c>
      <c r="U209" s="12" t="str">
        <f t="shared" si="139"/>
        <v>O</v>
      </c>
      <c r="V209" s="12" t="str">
        <f t="shared" si="140"/>
        <v>U</v>
      </c>
      <c r="W209" s="12" t="str">
        <f t="shared" si="141"/>
        <v>U</v>
      </c>
      <c r="X209" s="12" t="str">
        <f t="shared" si="142"/>
        <v>O</v>
      </c>
      <c r="Z209" s="12">
        <v>53.5</v>
      </c>
      <c r="AA209" s="12" t="str">
        <f t="shared" si="132"/>
        <v>TOR/ORL</v>
      </c>
    </row>
    <row r="210" spans="1:27" ht="17.100000000000001" x14ac:dyDescent="0.45">
      <c r="A210" s="12">
        <v>191121</v>
      </c>
      <c r="B210" s="1">
        <v>0.41666666666666669</v>
      </c>
      <c r="C210" t="s">
        <v>238</v>
      </c>
      <c r="D210" t="s">
        <v>252</v>
      </c>
      <c r="E210" s="12">
        <v>30</v>
      </c>
      <c r="F210" s="12">
        <v>29</v>
      </c>
      <c r="G210" s="12">
        <v>25</v>
      </c>
      <c r="H210" s="12">
        <v>25</v>
      </c>
      <c r="I210" s="12"/>
      <c r="J210" s="12">
        <v>30</v>
      </c>
      <c r="K210" s="12">
        <v>25</v>
      </c>
      <c r="L210" s="12">
        <v>16</v>
      </c>
      <c r="M210" s="12">
        <v>18</v>
      </c>
      <c r="N210" s="12"/>
      <c r="O210" s="12">
        <f t="shared" si="133"/>
        <v>109</v>
      </c>
      <c r="P210" s="12">
        <f t="shared" si="134"/>
        <v>89</v>
      </c>
      <c r="Q210" s="12" t="str">
        <f t="shared" si="135"/>
        <v>TT</v>
      </c>
      <c r="R210" s="12" t="str">
        <f t="shared" si="136"/>
        <v>HW</v>
      </c>
      <c r="S210" s="12" t="str">
        <f t="shared" si="137"/>
        <v>HW</v>
      </c>
      <c r="T210" s="12" t="str">
        <f t="shared" si="138"/>
        <v>HW</v>
      </c>
      <c r="U210" s="12" t="str">
        <f t="shared" si="139"/>
        <v>O</v>
      </c>
      <c r="V210" s="12" t="str">
        <f t="shared" si="140"/>
        <v>U</v>
      </c>
      <c r="W210" s="12" t="str">
        <f t="shared" si="141"/>
        <v>U</v>
      </c>
      <c r="X210" s="12" t="str">
        <f t="shared" si="142"/>
        <v>U</v>
      </c>
      <c r="Z210" s="12">
        <v>56.5</v>
      </c>
      <c r="AA210" s="12" t="str">
        <f t="shared" si="132"/>
        <v>CHI/DET</v>
      </c>
    </row>
    <row r="211" spans="1:27" ht="17.100000000000001" x14ac:dyDescent="0.45">
      <c r="A211" s="12">
        <v>191121</v>
      </c>
      <c r="B211" s="1">
        <v>0.41666666666666669</v>
      </c>
      <c r="C211" t="s">
        <v>245</v>
      </c>
      <c r="D211" t="s">
        <v>48</v>
      </c>
      <c r="E211" s="12">
        <v>19</v>
      </c>
      <c r="F211" s="12">
        <v>27</v>
      </c>
      <c r="G211" s="12">
        <v>22</v>
      </c>
      <c r="H211" s="12">
        <v>27</v>
      </c>
      <c r="I211" s="12"/>
      <c r="J211" s="12">
        <v>26</v>
      </c>
      <c r="K211" s="12">
        <v>22</v>
      </c>
      <c r="L211" s="12">
        <v>25</v>
      </c>
      <c r="M211" s="12">
        <v>30</v>
      </c>
      <c r="N211" s="12"/>
      <c r="O211" s="12">
        <f t="shared" si="133"/>
        <v>95</v>
      </c>
      <c r="P211" s="12">
        <f t="shared" si="134"/>
        <v>103</v>
      </c>
      <c r="Q211" s="12" t="str">
        <f t="shared" si="135"/>
        <v>HL</v>
      </c>
      <c r="R211" s="12" t="str">
        <f t="shared" si="136"/>
        <v>HW</v>
      </c>
      <c r="S211" s="12" t="str">
        <f t="shared" si="137"/>
        <v>HL</v>
      </c>
      <c r="T211" s="12" t="str">
        <f t="shared" si="138"/>
        <v>HL</v>
      </c>
      <c r="U211" s="12" t="str">
        <f t="shared" si="139"/>
        <v>U</v>
      </c>
      <c r="V211" s="12" t="str">
        <f t="shared" si="140"/>
        <v>U</v>
      </c>
      <c r="W211" s="12" t="str">
        <f t="shared" si="141"/>
        <v>U</v>
      </c>
      <c r="X211" s="12" t="str">
        <f t="shared" si="142"/>
        <v>O</v>
      </c>
      <c r="Z211" s="12">
        <v>54</v>
      </c>
      <c r="AA211" s="12" t="str">
        <f t="shared" si="132"/>
        <v>MIN/UTA</v>
      </c>
    </row>
    <row r="212" spans="1:27" ht="17.100000000000001" x14ac:dyDescent="0.45">
      <c r="A212" s="12">
        <v>191121</v>
      </c>
      <c r="B212" s="1">
        <v>0.45833333333333331</v>
      </c>
      <c r="C212" t="s">
        <v>230</v>
      </c>
      <c r="D212" t="s">
        <v>240</v>
      </c>
      <c r="E212" s="12">
        <v>27</v>
      </c>
      <c r="F212" s="12">
        <v>27</v>
      </c>
      <c r="G212" s="12">
        <v>28</v>
      </c>
      <c r="H212" s="12">
        <v>23</v>
      </c>
      <c r="I212" s="12"/>
      <c r="J212" s="12">
        <v>22</v>
      </c>
      <c r="K212" s="12">
        <v>29</v>
      </c>
      <c r="L212" s="12">
        <v>22</v>
      </c>
      <c r="M212" s="12">
        <v>22</v>
      </c>
      <c r="N212" s="12"/>
      <c r="O212" s="12">
        <f t="shared" si="133"/>
        <v>105</v>
      </c>
      <c r="P212" s="12">
        <f t="shared" si="134"/>
        <v>95</v>
      </c>
      <c r="Q212" s="12" t="str">
        <f t="shared" si="135"/>
        <v>HW</v>
      </c>
      <c r="R212" s="12" t="str">
        <f t="shared" si="136"/>
        <v>HL</v>
      </c>
      <c r="S212" s="12" t="str">
        <f t="shared" si="137"/>
        <v>HW</v>
      </c>
      <c r="T212" s="12" t="str">
        <f t="shared" si="138"/>
        <v>HW</v>
      </c>
      <c r="U212" s="12" t="str">
        <f t="shared" si="139"/>
        <v>U</v>
      </c>
      <c r="V212" s="12" t="str">
        <f t="shared" si="140"/>
        <v>U</v>
      </c>
      <c r="W212" s="12" t="str">
        <f t="shared" si="141"/>
        <v>U</v>
      </c>
      <c r="X212" s="12" t="str">
        <f t="shared" si="142"/>
        <v>U</v>
      </c>
      <c r="Z212" s="12">
        <v>57</v>
      </c>
      <c r="AA212" s="12" t="str">
        <f t="shared" si="132"/>
        <v>DEN/HOU</v>
      </c>
    </row>
    <row r="213" spans="1:27" ht="17.100000000000001" x14ac:dyDescent="0.45">
      <c r="A213" s="12">
        <v>191121</v>
      </c>
      <c r="B213" s="1">
        <v>0.5</v>
      </c>
      <c r="C213" t="s">
        <v>246</v>
      </c>
      <c r="D213" t="s">
        <v>227</v>
      </c>
      <c r="E213" s="12">
        <v>22</v>
      </c>
      <c r="F213" s="12">
        <v>18</v>
      </c>
      <c r="G213" s="12">
        <v>29</v>
      </c>
      <c r="H213" s="12">
        <v>28</v>
      </c>
      <c r="I213" s="12">
        <v>10</v>
      </c>
      <c r="J213" s="12">
        <v>21</v>
      </c>
      <c r="K213" s="12">
        <v>21</v>
      </c>
      <c r="L213" s="12">
        <v>33</v>
      </c>
      <c r="M213" s="12">
        <v>22</v>
      </c>
      <c r="N213" s="12">
        <v>7</v>
      </c>
      <c r="O213" s="12">
        <f t="shared" si="133"/>
        <v>107</v>
      </c>
      <c r="P213" s="12">
        <f t="shared" si="134"/>
        <v>104</v>
      </c>
      <c r="Q213" s="12" t="str">
        <f t="shared" si="135"/>
        <v>HW</v>
      </c>
      <c r="R213" s="12" t="str">
        <f t="shared" si="136"/>
        <v>HL</v>
      </c>
      <c r="S213" s="12" t="str">
        <f t="shared" si="137"/>
        <v>HL</v>
      </c>
      <c r="T213" s="12" t="str">
        <f t="shared" si="138"/>
        <v>HW</v>
      </c>
      <c r="U213" s="12" t="str">
        <f t="shared" si="139"/>
        <v>U</v>
      </c>
      <c r="V213" s="12" t="str">
        <f t="shared" si="140"/>
        <v>U</v>
      </c>
      <c r="W213" s="12" t="str">
        <f t="shared" si="141"/>
        <v>O</v>
      </c>
      <c r="X213" s="12" t="str">
        <f t="shared" si="142"/>
        <v>U</v>
      </c>
      <c r="Z213" s="12">
        <v>53</v>
      </c>
      <c r="AA213" s="12" t="str">
        <f t="shared" si="132"/>
        <v>LAC/BOS</v>
      </c>
    </row>
    <row r="214" spans="1:27" ht="17.100000000000001" x14ac:dyDescent="0.45">
      <c r="A214" s="12">
        <v>191122</v>
      </c>
      <c r="B214" s="1">
        <v>0.41666666666666669</v>
      </c>
      <c r="C214" s="12" t="s">
        <v>53</v>
      </c>
      <c r="D214" s="12" t="s">
        <v>45</v>
      </c>
      <c r="E214" s="12">
        <v>37</v>
      </c>
      <c r="F214" s="12">
        <v>35</v>
      </c>
      <c r="G214" s="12">
        <v>35</v>
      </c>
      <c r="H214" s="12">
        <v>30</v>
      </c>
      <c r="I214" s="12"/>
      <c r="J214" s="12">
        <v>27</v>
      </c>
      <c r="K214" s="12">
        <v>31</v>
      </c>
      <c r="L214" s="12">
        <v>40</v>
      </c>
      <c r="M214" s="12">
        <v>31</v>
      </c>
      <c r="O214" s="12">
        <f t="shared" ref="O214:O253" si="143">SUM(E214:I214)</f>
        <v>137</v>
      </c>
      <c r="P214" s="12">
        <f t="shared" ref="P214:P253" si="144">SUM(J214:N214)</f>
        <v>129</v>
      </c>
      <c r="Q214" s="12" t="str">
        <f t="shared" ref="Q214:Q253" si="145">IF(E214=J214,"TT",IF(E214&gt;J214,"HW","HL"))</f>
        <v>HW</v>
      </c>
      <c r="R214" s="12" t="str">
        <f t="shared" ref="R214:R253" si="146">IF(F214=K214,"TT",IF(F214&gt;K214,"HW","HL"))</f>
        <v>HW</v>
      </c>
      <c r="S214" s="12" t="str">
        <f t="shared" ref="S214:S253" si="147">IF(G214=L214,"TT",IF(G214&gt;L214,"HW","HL"))</f>
        <v>HL</v>
      </c>
      <c r="T214" s="12" t="str">
        <f t="shared" ref="T214:T253" si="148">IF(H214=M214,"TT",IF(H214&gt;M214,"HW","HL"))</f>
        <v>HL</v>
      </c>
      <c r="U214" s="12" t="str">
        <f t="shared" ref="U214:U253" si="149">IF(SUM(E214,J214)=$Z214,"T",IF(SUM(E214,J214)&gt;$Z214,"O","U"))</f>
        <v>O</v>
      </c>
      <c r="V214" s="12" t="str">
        <f t="shared" ref="V214:V253" si="150">IF(SUM(F214,K214)=$Z214,"T",IF(SUM(F214,K214)&gt;$Z214,"O","U"))</f>
        <v>O</v>
      </c>
      <c r="W214" s="12" t="str">
        <f t="shared" ref="W214:W253" si="151">IF(SUM(G214,L214)=$Z214,"T",IF(SUM(G214,L214)&gt;$Z214,"O","U"))</f>
        <v>O</v>
      </c>
      <c r="X214" s="12" t="str">
        <f t="shared" ref="X214:X253" si="152">IF(SUM(H214,M214)=$Z214,"T",IF(SUM(H214,M214)&gt;$Z214,"O","U"))</f>
        <v>O</v>
      </c>
      <c r="Y214" s="12"/>
      <c r="Z214" s="12">
        <v>55.5</v>
      </c>
      <c r="AA214" t="str">
        <f t="shared" si="132"/>
        <v>MIL/POR</v>
      </c>
    </row>
    <row r="215" spans="1:27" ht="17.100000000000001" x14ac:dyDescent="0.45">
      <c r="A215" s="12">
        <v>191122</v>
      </c>
      <c r="B215" s="1">
        <v>0.52083333333333337</v>
      </c>
      <c r="C215" s="12" t="s">
        <v>43</v>
      </c>
      <c r="D215" s="5" t="s">
        <v>27</v>
      </c>
      <c r="E215" s="12">
        <v>33</v>
      </c>
      <c r="F215" s="12">
        <v>33</v>
      </c>
      <c r="G215" s="12">
        <v>28</v>
      </c>
      <c r="H215" s="12">
        <v>27</v>
      </c>
      <c r="I215" s="12"/>
      <c r="J215" s="12">
        <v>38</v>
      </c>
      <c r="K215" s="12">
        <v>21</v>
      </c>
      <c r="L215" s="12">
        <v>36</v>
      </c>
      <c r="M215" s="12">
        <v>29</v>
      </c>
      <c r="O215" s="12">
        <f t="shared" si="143"/>
        <v>121</v>
      </c>
      <c r="P215" s="12">
        <f t="shared" si="144"/>
        <v>124</v>
      </c>
      <c r="Q215" s="12" t="str">
        <f t="shared" si="145"/>
        <v>HL</v>
      </c>
      <c r="R215" s="12" t="str">
        <f t="shared" si="146"/>
        <v>HW</v>
      </c>
      <c r="S215" s="12" t="str">
        <f t="shared" si="147"/>
        <v>HL</v>
      </c>
      <c r="T215" s="12" t="str">
        <f t="shared" si="148"/>
        <v>HL</v>
      </c>
      <c r="U215" s="12" t="str">
        <f t="shared" si="149"/>
        <v>O</v>
      </c>
      <c r="V215" s="12" t="str">
        <f t="shared" si="150"/>
        <v>U</v>
      </c>
      <c r="W215" s="12" t="str">
        <f t="shared" si="151"/>
        <v>O</v>
      </c>
      <c r="X215" s="12" t="str">
        <f t="shared" si="152"/>
        <v>U</v>
      </c>
      <c r="Y215" s="12"/>
      <c r="Z215" s="12">
        <v>60</v>
      </c>
      <c r="AA215" s="12" t="str">
        <f t="shared" si="132"/>
        <v>PHO/NO</v>
      </c>
    </row>
    <row r="216" spans="1:27" ht="17.100000000000001" x14ac:dyDescent="0.45">
      <c r="A216" s="12">
        <v>191123</v>
      </c>
      <c r="B216" s="1">
        <v>0.375</v>
      </c>
      <c r="C216" s="12" t="s">
        <v>257</v>
      </c>
      <c r="D216" s="5" t="s">
        <v>258</v>
      </c>
      <c r="E216" s="12">
        <v>33</v>
      </c>
      <c r="F216" s="12">
        <v>43</v>
      </c>
      <c r="G216" s="12">
        <v>31</v>
      </c>
      <c r="H216" s="12">
        <v>21</v>
      </c>
      <c r="I216" s="12"/>
      <c r="J216" s="12">
        <v>23</v>
      </c>
      <c r="K216" s="12">
        <v>34</v>
      </c>
      <c r="L216" s="12">
        <v>27</v>
      </c>
      <c r="M216" s="12">
        <v>19</v>
      </c>
      <c r="O216" s="12">
        <f t="shared" si="143"/>
        <v>128</v>
      </c>
      <c r="P216" s="12">
        <f t="shared" si="144"/>
        <v>103</v>
      </c>
      <c r="Q216" s="12" t="str">
        <f t="shared" si="145"/>
        <v>HW</v>
      </c>
      <c r="R216" s="12" t="str">
        <f t="shared" si="146"/>
        <v>HW</v>
      </c>
      <c r="S216" s="12" t="str">
        <f t="shared" si="147"/>
        <v>HW</v>
      </c>
      <c r="T216" s="12" t="str">
        <f t="shared" si="148"/>
        <v>HW</v>
      </c>
      <c r="U216" s="12" t="str">
        <f t="shared" si="149"/>
        <v>U</v>
      </c>
      <c r="V216" s="12" t="str">
        <f t="shared" si="150"/>
        <v>O</v>
      </c>
      <c r="W216" s="12" t="str">
        <f t="shared" si="151"/>
        <v>U</v>
      </c>
      <c r="X216" s="12" t="str">
        <f t="shared" si="152"/>
        <v>U</v>
      </c>
      <c r="Y216" s="12"/>
      <c r="Z216" s="12">
        <v>58.5</v>
      </c>
      <c r="AA216" s="12" t="str">
        <f t="shared" si="132"/>
        <v>DET/ATL</v>
      </c>
    </row>
    <row r="217" spans="1:27" ht="17.100000000000001" x14ac:dyDescent="0.45">
      <c r="A217" s="12">
        <v>191123</v>
      </c>
      <c r="B217" s="1">
        <v>0.375</v>
      </c>
      <c r="C217" s="12" t="s">
        <v>259</v>
      </c>
      <c r="D217" s="5" t="s">
        <v>260</v>
      </c>
      <c r="E217" s="12">
        <v>33</v>
      </c>
      <c r="F217" s="12">
        <v>29</v>
      </c>
      <c r="G217" s="12">
        <v>28</v>
      </c>
      <c r="H217" s="12">
        <v>35</v>
      </c>
      <c r="I217" s="12"/>
      <c r="J217" s="12">
        <v>34</v>
      </c>
      <c r="K217" s="12">
        <v>34</v>
      </c>
      <c r="L217" s="12">
        <v>28</v>
      </c>
      <c r="M217" s="12">
        <v>22</v>
      </c>
      <c r="O217" s="12">
        <f t="shared" si="143"/>
        <v>125</v>
      </c>
      <c r="P217" s="12">
        <f t="shared" si="144"/>
        <v>118</v>
      </c>
      <c r="Q217" s="12" t="str">
        <f t="shared" si="145"/>
        <v>HL</v>
      </c>
      <c r="R217" s="12" t="str">
        <f t="shared" si="146"/>
        <v>HL</v>
      </c>
      <c r="S217" s="12" t="str">
        <f t="shared" si="147"/>
        <v>TT</v>
      </c>
      <c r="T217" s="12" t="str">
        <f t="shared" si="148"/>
        <v>HW</v>
      </c>
      <c r="U217" s="12" t="str">
        <f t="shared" si="149"/>
        <v>O</v>
      </c>
      <c r="V217" s="12" t="str">
        <f t="shared" si="150"/>
        <v>O</v>
      </c>
      <c r="W217" s="12" t="str">
        <f t="shared" si="151"/>
        <v>U</v>
      </c>
      <c r="X217" s="12" t="str">
        <f t="shared" si="152"/>
        <v>U</v>
      </c>
      <c r="Y217" s="12"/>
      <c r="Z217" s="12">
        <v>60.5</v>
      </c>
      <c r="AA217" s="12" t="str">
        <f t="shared" si="132"/>
        <v>WAS/CHA</v>
      </c>
    </row>
    <row r="218" spans="1:27" ht="17.100000000000001" x14ac:dyDescent="0.45">
      <c r="A218" s="12">
        <v>191123</v>
      </c>
      <c r="B218" s="1">
        <v>0.39583333333333331</v>
      </c>
      <c r="C218" s="12" t="s">
        <v>261</v>
      </c>
      <c r="D218" s="5" t="s">
        <v>262</v>
      </c>
      <c r="E218" s="12">
        <v>26</v>
      </c>
      <c r="F218" s="12">
        <v>30</v>
      </c>
      <c r="G218" s="12">
        <v>30</v>
      </c>
      <c r="H218" s="12">
        <v>30</v>
      </c>
      <c r="I218" s="12"/>
      <c r="J218" s="12">
        <v>23</v>
      </c>
      <c r="K218" s="12">
        <v>26</v>
      </c>
      <c r="L218" s="12">
        <v>21</v>
      </c>
      <c r="M218" s="12">
        <v>27</v>
      </c>
      <c r="O218" s="12">
        <f t="shared" si="143"/>
        <v>116</v>
      </c>
      <c r="P218" s="12">
        <f t="shared" si="144"/>
        <v>97</v>
      </c>
      <c r="Q218" s="12" t="str">
        <f t="shared" si="145"/>
        <v>HW</v>
      </c>
      <c r="R218" s="12" t="str">
        <f t="shared" si="146"/>
        <v>HW</v>
      </c>
      <c r="S218" s="12" t="str">
        <f t="shared" si="147"/>
        <v>HW</v>
      </c>
      <c r="T218" s="12" t="str">
        <f t="shared" si="148"/>
        <v>HW</v>
      </c>
      <c r="U218" s="12" t="str">
        <f t="shared" si="149"/>
        <v>U</v>
      </c>
      <c r="V218" s="12" t="str">
        <f t="shared" si="150"/>
        <v>O</v>
      </c>
      <c r="W218" s="12" t="str">
        <f t="shared" si="151"/>
        <v>U</v>
      </c>
      <c r="X218" s="12" t="str">
        <f t="shared" si="152"/>
        <v>O</v>
      </c>
      <c r="Y218" s="12"/>
      <c r="Z218" s="12">
        <v>54.5</v>
      </c>
      <c r="AA218" s="12" t="str">
        <f t="shared" si="132"/>
        <v>BKN/SAC</v>
      </c>
    </row>
    <row r="219" spans="1:27" ht="17.100000000000001" x14ac:dyDescent="0.45">
      <c r="A219" s="12">
        <v>191123</v>
      </c>
      <c r="B219" s="1">
        <v>0.41666666666666669</v>
      </c>
      <c r="C219" s="12" t="s">
        <v>263</v>
      </c>
      <c r="D219" s="5" t="s">
        <v>264</v>
      </c>
      <c r="E219" s="12">
        <v>16</v>
      </c>
      <c r="F219" s="12">
        <v>27</v>
      </c>
      <c r="G219" s="12">
        <v>24</v>
      </c>
      <c r="H219" s="12">
        <v>41</v>
      </c>
      <c r="I219" s="12"/>
      <c r="J219" s="12">
        <v>34</v>
      </c>
      <c r="K219" s="12">
        <v>33</v>
      </c>
      <c r="L219" s="12">
        <v>18</v>
      </c>
      <c r="M219" s="12">
        <v>31</v>
      </c>
      <c r="O219" s="12">
        <f t="shared" si="143"/>
        <v>108</v>
      </c>
      <c r="P219" s="12">
        <f t="shared" si="144"/>
        <v>116</v>
      </c>
      <c r="Q219" s="12" t="str">
        <f t="shared" si="145"/>
        <v>HL</v>
      </c>
      <c r="R219" s="12" t="str">
        <f t="shared" si="146"/>
        <v>HL</v>
      </c>
      <c r="S219" s="12" t="str">
        <f t="shared" si="147"/>
        <v>HW</v>
      </c>
      <c r="T219" s="12" t="str">
        <f t="shared" si="148"/>
        <v>HW</v>
      </c>
      <c r="U219" s="12" t="str">
        <f t="shared" si="149"/>
        <v>U</v>
      </c>
      <c r="V219" s="12" t="str">
        <f t="shared" si="150"/>
        <v>O</v>
      </c>
      <c r="W219" s="12" t="str">
        <f t="shared" si="151"/>
        <v>U</v>
      </c>
      <c r="X219" s="12" t="str">
        <f t="shared" si="152"/>
        <v>O</v>
      </c>
      <c r="Y219" s="12"/>
      <c r="Z219" s="12">
        <v>55.5</v>
      </c>
      <c r="AA219" s="12" t="str">
        <f t="shared" si="132"/>
        <v>CHI/MIA</v>
      </c>
    </row>
    <row r="220" spans="1:27" ht="17.100000000000001" x14ac:dyDescent="0.45">
      <c r="A220" s="12">
        <v>191123</v>
      </c>
      <c r="B220" s="1">
        <v>0.41666666666666669</v>
      </c>
      <c r="C220" s="12" t="s">
        <v>265</v>
      </c>
      <c r="D220" s="5" t="s">
        <v>266</v>
      </c>
      <c r="E220" s="12">
        <v>29</v>
      </c>
      <c r="F220" s="12">
        <v>30</v>
      </c>
      <c r="G220" s="12">
        <v>28</v>
      </c>
      <c r="H220" s="12">
        <v>28</v>
      </c>
      <c r="I220" s="12"/>
      <c r="J220" s="12">
        <v>22</v>
      </c>
      <c r="K220" s="12">
        <v>30</v>
      </c>
      <c r="L220" s="12">
        <v>28</v>
      </c>
      <c r="M220" s="12">
        <v>24</v>
      </c>
      <c r="O220" s="12">
        <f t="shared" si="143"/>
        <v>115</v>
      </c>
      <c r="P220" s="12">
        <f t="shared" si="144"/>
        <v>104</v>
      </c>
      <c r="Q220" s="12" t="str">
        <f t="shared" si="145"/>
        <v>HW</v>
      </c>
      <c r="R220" s="12" t="str">
        <f t="shared" si="146"/>
        <v>TT</v>
      </c>
      <c r="S220" s="12" t="str">
        <f t="shared" si="147"/>
        <v>TT</v>
      </c>
      <c r="T220" s="12" t="str">
        <f t="shared" si="148"/>
        <v>HW</v>
      </c>
      <c r="U220" s="12" t="str">
        <f t="shared" si="149"/>
        <v>U</v>
      </c>
      <c r="V220" s="12" t="str">
        <f t="shared" si="150"/>
        <v>O</v>
      </c>
      <c r="W220" s="12" t="str">
        <f t="shared" si="151"/>
        <v>O</v>
      </c>
      <c r="X220" s="12" t="str">
        <f t="shared" si="152"/>
        <v>U</v>
      </c>
      <c r="Y220" s="12"/>
      <c r="Z220" s="12">
        <v>53.5</v>
      </c>
      <c r="AA220" s="12" t="str">
        <f t="shared" si="132"/>
        <v>PHI/SAS</v>
      </c>
    </row>
    <row r="221" spans="1:27" ht="17.100000000000001" x14ac:dyDescent="0.45">
      <c r="A221" s="12">
        <v>191123</v>
      </c>
      <c r="B221" s="1">
        <v>0.41666666666666669</v>
      </c>
      <c r="C221" s="12" t="s">
        <v>267</v>
      </c>
      <c r="D221" s="5" t="s">
        <v>268</v>
      </c>
      <c r="E221" s="12">
        <v>33</v>
      </c>
      <c r="F221" s="12">
        <v>34</v>
      </c>
      <c r="G221" s="12">
        <v>36</v>
      </c>
      <c r="H221" s="12">
        <v>24</v>
      </c>
      <c r="I221" s="12"/>
      <c r="J221" s="12">
        <v>34</v>
      </c>
      <c r="K221" s="12">
        <v>32</v>
      </c>
      <c r="L221" s="12">
        <v>40</v>
      </c>
      <c r="M221" s="12">
        <v>24</v>
      </c>
      <c r="O221" s="12">
        <f t="shared" si="143"/>
        <v>127</v>
      </c>
      <c r="P221" s="12">
        <f t="shared" si="144"/>
        <v>130</v>
      </c>
      <c r="Q221" s="12" t="str">
        <f t="shared" si="145"/>
        <v>HL</v>
      </c>
      <c r="R221" s="12" t="str">
        <f t="shared" si="146"/>
        <v>HW</v>
      </c>
      <c r="S221" s="12" t="str">
        <f t="shared" si="147"/>
        <v>HL</v>
      </c>
      <c r="T221" s="12" t="str">
        <f t="shared" si="148"/>
        <v>TT</v>
      </c>
      <c r="U221" s="12" t="str">
        <f t="shared" si="149"/>
        <v>O</v>
      </c>
      <c r="V221" s="12" t="str">
        <f t="shared" si="150"/>
        <v>O</v>
      </c>
      <c r="W221" s="12" t="str">
        <f t="shared" si="151"/>
        <v>O</v>
      </c>
      <c r="X221" s="12" t="str">
        <f t="shared" si="152"/>
        <v>U</v>
      </c>
      <c r="Y221" s="12"/>
      <c r="Z221" s="12">
        <v>54.5</v>
      </c>
      <c r="AA221" s="12" t="str">
        <f t="shared" si="132"/>
        <v>OKC/LAL</v>
      </c>
    </row>
    <row r="222" spans="1:27" ht="17.100000000000001" x14ac:dyDescent="0.45">
      <c r="A222" s="12">
        <v>191123</v>
      </c>
      <c r="B222" s="1">
        <v>0.4375</v>
      </c>
      <c r="C222" s="12" t="s">
        <v>269</v>
      </c>
      <c r="D222" s="5" t="s">
        <v>270</v>
      </c>
      <c r="E222" s="12">
        <v>29</v>
      </c>
      <c r="F222" s="12">
        <v>37</v>
      </c>
      <c r="G222" s="12">
        <v>45</v>
      </c>
      <c r="H222" s="12">
        <v>32</v>
      </c>
      <c r="I222" s="12"/>
      <c r="J222" s="12">
        <v>26</v>
      </c>
      <c r="K222" s="12">
        <v>16</v>
      </c>
      <c r="L222" s="12">
        <v>29</v>
      </c>
      <c r="M222" s="12">
        <v>30</v>
      </c>
      <c r="O222" s="12">
        <f t="shared" si="143"/>
        <v>143</v>
      </c>
      <c r="P222" s="12">
        <f t="shared" si="144"/>
        <v>101</v>
      </c>
      <c r="Q222" s="12" t="str">
        <f t="shared" si="145"/>
        <v>HW</v>
      </c>
      <c r="R222" s="12" t="str">
        <f t="shared" si="146"/>
        <v>HW</v>
      </c>
      <c r="S222" s="12" t="str">
        <f t="shared" si="147"/>
        <v>HW</v>
      </c>
      <c r="T222" s="12" t="str">
        <f t="shared" si="148"/>
        <v>HW</v>
      </c>
      <c r="U222" s="12" t="str">
        <f t="shared" si="149"/>
        <v>O</v>
      </c>
      <c r="V222" s="12" t="str">
        <f t="shared" si="150"/>
        <v>U</v>
      </c>
      <c r="W222" s="12" t="str">
        <f t="shared" si="151"/>
        <v>O</v>
      </c>
      <c r="X222" s="12" t="str">
        <f t="shared" si="152"/>
        <v>O</v>
      </c>
      <c r="Y222" s="12"/>
      <c r="Z222" s="12">
        <v>54</v>
      </c>
      <c r="AA222" s="12" t="str">
        <f t="shared" si="132"/>
        <v>DAL/CLE</v>
      </c>
    </row>
    <row r="223" spans="1:27" ht="17.100000000000001" x14ac:dyDescent="0.45">
      <c r="A223" s="12">
        <v>191123</v>
      </c>
      <c r="B223" s="1">
        <v>0.45833333333333331</v>
      </c>
      <c r="C223" s="12" t="s">
        <v>271</v>
      </c>
      <c r="D223" s="5" t="s">
        <v>272</v>
      </c>
      <c r="E223" s="12">
        <v>27</v>
      </c>
      <c r="F223" s="12">
        <v>18</v>
      </c>
      <c r="G223" s="12">
        <v>25</v>
      </c>
      <c r="H223" s="12">
        <v>26</v>
      </c>
      <c r="I223" s="12"/>
      <c r="J223" s="12">
        <v>13</v>
      </c>
      <c r="K223" s="12">
        <v>21</v>
      </c>
      <c r="L223" s="12">
        <v>23</v>
      </c>
      <c r="M223" s="12">
        <v>35</v>
      </c>
      <c r="O223" s="12">
        <f t="shared" si="143"/>
        <v>96</v>
      </c>
      <c r="P223" s="12">
        <f t="shared" si="144"/>
        <v>92</v>
      </c>
      <c r="Q223" s="12" t="str">
        <f t="shared" si="145"/>
        <v>HW</v>
      </c>
      <c r="R223" s="12" t="str">
        <f t="shared" si="146"/>
        <v>HL</v>
      </c>
      <c r="S223" s="12" t="str">
        <f t="shared" si="147"/>
        <v>HW</v>
      </c>
      <c r="T223" s="12" t="str">
        <f t="shared" si="148"/>
        <v>HL</v>
      </c>
      <c r="U223" s="12" t="str">
        <f t="shared" si="149"/>
        <v>U</v>
      </c>
      <c r="V223" s="12" t="str">
        <f t="shared" si="150"/>
        <v>U</v>
      </c>
      <c r="W223" s="12" t="str">
        <f t="shared" si="151"/>
        <v>U</v>
      </c>
      <c r="X223" s="12" t="str">
        <f t="shared" si="152"/>
        <v>O</v>
      </c>
      <c r="Y223" s="12"/>
      <c r="Z223" s="12">
        <v>50</v>
      </c>
      <c r="AA223" s="12" t="str">
        <f t="shared" si="132"/>
        <v>DEN/BOS</v>
      </c>
    </row>
    <row r="224" spans="1:27" ht="17.100000000000001" x14ac:dyDescent="0.45">
      <c r="A224" s="12">
        <v>191123</v>
      </c>
      <c r="B224" s="1">
        <v>0.45833333333333331</v>
      </c>
      <c r="C224" s="12" t="s">
        <v>273</v>
      </c>
      <c r="D224" s="5" t="s">
        <v>274</v>
      </c>
      <c r="E224" s="12">
        <v>30</v>
      </c>
      <c r="F224" s="12">
        <v>35</v>
      </c>
      <c r="G224" s="12">
        <v>25</v>
      </c>
      <c r="H224" s="12">
        <v>23</v>
      </c>
      <c r="I224" s="12"/>
      <c r="J224" s="12">
        <v>28</v>
      </c>
      <c r="K224" s="12">
        <v>23</v>
      </c>
      <c r="L224" s="12">
        <v>21</v>
      </c>
      <c r="M224" s="12">
        <v>37</v>
      </c>
      <c r="O224" s="12">
        <f t="shared" si="143"/>
        <v>113</v>
      </c>
      <c r="P224" s="12">
        <f t="shared" si="144"/>
        <v>109</v>
      </c>
      <c r="Q224" s="12" t="str">
        <f t="shared" si="145"/>
        <v>HW</v>
      </c>
      <c r="R224" s="12" t="str">
        <f t="shared" si="146"/>
        <v>HW</v>
      </c>
      <c r="S224" s="12" t="str">
        <f t="shared" si="147"/>
        <v>HW</v>
      </c>
      <c r="T224" s="12" t="str">
        <f t="shared" si="148"/>
        <v>HL</v>
      </c>
      <c r="U224" s="12" t="str">
        <f t="shared" si="149"/>
        <v>O</v>
      </c>
      <c r="V224" s="12" t="str">
        <f t="shared" si="150"/>
        <v>O</v>
      </c>
      <c r="W224" s="12" t="str">
        <f t="shared" si="151"/>
        <v>U</v>
      </c>
      <c r="X224" s="12" t="str">
        <f t="shared" si="152"/>
        <v>O</v>
      </c>
      <c r="Y224" s="12"/>
      <c r="Z224" s="12">
        <v>54</v>
      </c>
      <c r="AA224" s="12" t="str">
        <f t="shared" si="132"/>
        <v>UTA/GS</v>
      </c>
    </row>
    <row r="225" spans="1:27" ht="17.100000000000001" x14ac:dyDescent="0.45">
      <c r="A225" s="12">
        <v>191123</v>
      </c>
      <c r="B225" s="1">
        <v>0.52083333333333337</v>
      </c>
      <c r="C225" s="12" t="s">
        <v>275</v>
      </c>
      <c r="D225" s="5" t="s">
        <v>276</v>
      </c>
      <c r="E225" s="12">
        <v>31</v>
      </c>
      <c r="F225" s="12">
        <v>24</v>
      </c>
      <c r="G225" s="12">
        <v>25</v>
      </c>
      <c r="H225" s="12">
        <v>42</v>
      </c>
      <c r="I225" s="12"/>
      <c r="J225" s="12">
        <v>23</v>
      </c>
      <c r="K225" s="12">
        <v>28</v>
      </c>
      <c r="L225" s="12">
        <v>33</v>
      </c>
      <c r="M225" s="12">
        <v>35</v>
      </c>
      <c r="O225" s="12">
        <f t="shared" si="143"/>
        <v>122</v>
      </c>
      <c r="P225" s="12">
        <f t="shared" si="144"/>
        <v>119</v>
      </c>
      <c r="Q225" s="12" t="str">
        <f t="shared" si="145"/>
        <v>HW</v>
      </c>
      <c r="R225" s="12" t="str">
        <f t="shared" si="146"/>
        <v>HL</v>
      </c>
      <c r="S225" s="12" t="str">
        <f t="shared" si="147"/>
        <v>HL</v>
      </c>
      <c r="T225" s="12" t="str">
        <f t="shared" si="148"/>
        <v>HW</v>
      </c>
      <c r="U225" s="12" t="str">
        <f t="shared" si="149"/>
        <v>U</v>
      </c>
      <c r="V225" s="12" t="str">
        <f t="shared" si="150"/>
        <v>U</v>
      </c>
      <c r="W225" s="12" t="str">
        <f t="shared" si="151"/>
        <v>T</v>
      </c>
      <c r="X225" s="12" t="str">
        <f t="shared" si="152"/>
        <v>O</v>
      </c>
      <c r="Y225" s="12"/>
      <c r="Z225" s="12">
        <v>58</v>
      </c>
      <c r="AA225" s="12" t="str">
        <f t="shared" si="132"/>
        <v>LAC/HOU</v>
      </c>
    </row>
    <row r="226" spans="1:27" ht="17.100000000000001" x14ac:dyDescent="0.45">
      <c r="A226" s="12">
        <v>191124</v>
      </c>
      <c r="B226" s="1">
        <v>0.29166666666666669</v>
      </c>
      <c r="C226" s="12" t="s">
        <v>277</v>
      </c>
      <c r="D226" s="5" t="s">
        <v>278</v>
      </c>
      <c r="E226" s="12">
        <v>23</v>
      </c>
      <c r="F226" s="12">
        <v>22</v>
      </c>
      <c r="G226" s="12">
        <v>28</v>
      </c>
      <c r="H226" s="12">
        <v>25</v>
      </c>
      <c r="I226" s="12"/>
      <c r="J226" s="12">
        <v>30</v>
      </c>
      <c r="K226" s="12">
        <v>22</v>
      </c>
      <c r="L226" s="12">
        <v>30</v>
      </c>
      <c r="M226" s="12">
        <v>18</v>
      </c>
      <c r="O226" s="12">
        <f t="shared" si="143"/>
        <v>98</v>
      </c>
      <c r="P226" s="12">
        <f t="shared" si="144"/>
        <v>100</v>
      </c>
      <c r="Q226" s="12" t="str">
        <f t="shared" si="145"/>
        <v>HL</v>
      </c>
      <c r="R226" s="12" t="str">
        <f t="shared" si="146"/>
        <v>TT</v>
      </c>
      <c r="S226" s="12" t="str">
        <f t="shared" si="147"/>
        <v>HL</v>
      </c>
      <c r="T226" s="12" t="str">
        <f t="shared" si="148"/>
        <v>HW</v>
      </c>
      <c r="U226" s="12" t="str">
        <f t="shared" si="149"/>
        <v>U</v>
      </c>
      <c r="V226" s="12" t="str">
        <f t="shared" si="150"/>
        <v>U</v>
      </c>
      <c r="W226" s="12" t="str">
        <f t="shared" si="151"/>
        <v>O</v>
      </c>
      <c r="X226" s="12" t="str">
        <f t="shared" si="152"/>
        <v>U</v>
      </c>
      <c r="Y226" s="12"/>
      <c r="Z226" s="12">
        <v>57</v>
      </c>
      <c r="AA226" s="12" t="str">
        <f t="shared" si="132"/>
        <v>MIN/PHO</v>
      </c>
    </row>
    <row r="227" spans="1:27" ht="17.100000000000001" x14ac:dyDescent="0.45">
      <c r="A227" s="12">
        <v>191124</v>
      </c>
      <c r="B227" s="1">
        <v>0.375</v>
      </c>
      <c r="C227" s="12" t="s">
        <v>279</v>
      </c>
      <c r="D227" s="5" t="s">
        <v>280</v>
      </c>
      <c r="E227" s="12">
        <v>24</v>
      </c>
      <c r="F227" s="12">
        <v>31</v>
      </c>
      <c r="G227" s="12">
        <v>28</v>
      </c>
      <c r="H227" s="12">
        <v>28</v>
      </c>
      <c r="I227" s="12"/>
      <c r="J227" s="12">
        <v>25</v>
      </c>
      <c r="K227" s="12">
        <v>20</v>
      </c>
      <c r="L227" s="12">
        <v>40</v>
      </c>
      <c r="M227" s="12">
        <v>21</v>
      </c>
      <c r="O227" s="12">
        <f t="shared" si="143"/>
        <v>111</v>
      </c>
      <c r="P227" s="12">
        <f t="shared" si="144"/>
        <v>106</v>
      </c>
      <c r="Q227" s="12" t="str">
        <f t="shared" si="145"/>
        <v>HL</v>
      </c>
      <c r="R227" s="12" t="str">
        <f t="shared" si="146"/>
        <v>HW</v>
      </c>
      <c r="S227" s="12" t="str">
        <f t="shared" si="147"/>
        <v>HL</v>
      </c>
      <c r="T227" s="12" t="str">
        <f t="shared" si="148"/>
        <v>HW</v>
      </c>
      <c r="U227" s="12" t="str">
        <f t="shared" si="149"/>
        <v>U</v>
      </c>
      <c r="V227" s="12" t="str">
        <f t="shared" si="150"/>
        <v>U</v>
      </c>
      <c r="W227" s="12" t="str">
        <f t="shared" si="151"/>
        <v>O</v>
      </c>
      <c r="X227" s="12" t="str">
        <f t="shared" si="152"/>
        <v>U</v>
      </c>
      <c r="Y227" s="12"/>
      <c r="Z227" s="12">
        <v>52</v>
      </c>
      <c r="AA227" s="12" t="str">
        <f t="shared" si="132"/>
        <v>IND/ORL</v>
      </c>
    </row>
    <row r="228" spans="1:27" ht="17.100000000000001" x14ac:dyDescent="0.45">
      <c r="A228" s="12">
        <v>191124</v>
      </c>
      <c r="B228" s="1">
        <v>0.375</v>
      </c>
      <c r="C228" s="12" t="s">
        <v>260</v>
      </c>
      <c r="D228" s="5" t="s">
        <v>263</v>
      </c>
      <c r="E228" s="12">
        <v>23</v>
      </c>
      <c r="F228" s="12">
        <v>26</v>
      </c>
      <c r="G228" s="12">
        <v>25</v>
      </c>
      <c r="H228" s="12">
        <v>41</v>
      </c>
      <c r="I228" s="12"/>
      <c r="J228" s="12">
        <v>34</v>
      </c>
      <c r="K228" s="12">
        <v>22</v>
      </c>
      <c r="L228" s="12">
        <v>13</v>
      </c>
      <c r="M228" s="12">
        <v>47</v>
      </c>
      <c r="O228" s="12">
        <f t="shared" si="143"/>
        <v>115</v>
      </c>
      <c r="P228" s="12">
        <f t="shared" si="144"/>
        <v>116</v>
      </c>
      <c r="Q228" s="12" t="str">
        <f t="shared" si="145"/>
        <v>HL</v>
      </c>
      <c r="R228" s="12" t="str">
        <f t="shared" si="146"/>
        <v>HW</v>
      </c>
      <c r="S228" s="12" t="str">
        <f t="shared" si="147"/>
        <v>HW</v>
      </c>
      <c r="T228" s="12" t="str">
        <f t="shared" si="148"/>
        <v>HL</v>
      </c>
      <c r="U228" s="12" t="str">
        <f t="shared" si="149"/>
        <v>O</v>
      </c>
      <c r="V228" s="12" t="str">
        <f t="shared" si="150"/>
        <v>U</v>
      </c>
      <c r="W228" s="12" t="str">
        <f t="shared" si="151"/>
        <v>U</v>
      </c>
      <c r="X228" s="12" t="str">
        <f t="shared" si="152"/>
        <v>O</v>
      </c>
      <c r="Y228" s="12"/>
      <c r="Z228" s="12">
        <v>54.5</v>
      </c>
      <c r="AA228" s="12" t="str">
        <f t="shared" si="132"/>
        <v>CHA/CHI</v>
      </c>
    </row>
    <row r="229" spans="1:27" ht="17.100000000000001" x14ac:dyDescent="0.45">
      <c r="A229" s="12">
        <v>191124</v>
      </c>
      <c r="B229" s="1">
        <v>0.39583333333333331</v>
      </c>
      <c r="C229" s="12" t="s">
        <v>258</v>
      </c>
      <c r="D229" s="5" t="s">
        <v>281</v>
      </c>
      <c r="E229" s="12">
        <v>27</v>
      </c>
      <c r="F229" s="12">
        <v>34</v>
      </c>
      <c r="G229" s="12">
        <v>29</v>
      </c>
      <c r="H229" s="12">
        <v>26</v>
      </c>
      <c r="I229" s="12"/>
      <c r="J229" s="12">
        <v>26</v>
      </c>
      <c r="K229" s="12">
        <v>26</v>
      </c>
      <c r="L229" s="12">
        <v>35</v>
      </c>
      <c r="M229" s="12">
        <v>32</v>
      </c>
      <c r="O229" s="12">
        <f t="shared" si="143"/>
        <v>116</v>
      </c>
      <c r="P229" s="12">
        <f t="shared" si="144"/>
        <v>119</v>
      </c>
      <c r="Q229" s="12" t="str">
        <f t="shared" si="145"/>
        <v>HW</v>
      </c>
      <c r="R229" s="12" t="str">
        <f t="shared" si="146"/>
        <v>HW</v>
      </c>
      <c r="S229" s="12" t="str">
        <f t="shared" si="147"/>
        <v>HL</v>
      </c>
      <c r="T229" s="12" t="str">
        <f t="shared" si="148"/>
        <v>HL</v>
      </c>
      <c r="U229" s="12" t="str">
        <f t="shared" si="149"/>
        <v>U</v>
      </c>
      <c r="V229" s="12" t="str">
        <f t="shared" si="150"/>
        <v>O</v>
      </c>
      <c r="W229" s="12" t="str">
        <f t="shared" si="151"/>
        <v>O</v>
      </c>
      <c r="X229" s="12" t="str">
        <f t="shared" si="152"/>
        <v>O</v>
      </c>
      <c r="Y229" s="12"/>
      <c r="Z229" s="12">
        <v>57.5</v>
      </c>
      <c r="AA229" s="12" t="str">
        <f t="shared" si="132"/>
        <v>ATL/TOR</v>
      </c>
    </row>
    <row r="230" spans="1:27" ht="17.100000000000001" x14ac:dyDescent="0.45">
      <c r="A230" s="12">
        <v>191124</v>
      </c>
      <c r="B230" s="1">
        <v>0.39583333333333331</v>
      </c>
      <c r="C230" s="12" t="s">
        <v>282</v>
      </c>
      <c r="D230" s="5" t="s">
        <v>266</v>
      </c>
      <c r="E230" s="12">
        <v>16</v>
      </c>
      <c r="F230" s="12">
        <v>27</v>
      </c>
      <c r="G230" s="12">
        <v>28</v>
      </c>
      <c r="H230" s="12">
        <v>33</v>
      </c>
      <c r="I230" s="12"/>
      <c r="J230" s="12">
        <v>32</v>
      </c>
      <c r="K230" s="12">
        <v>36</v>
      </c>
      <c r="L230" s="12">
        <v>21</v>
      </c>
      <c r="M230" s="12">
        <v>22</v>
      </c>
      <c r="O230" s="12">
        <f t="shared" si="143"/>
        <v>104</v>
      </c>
      <c r="P230" s="12">
        <f t="shared" si="144"/>
        <v>111</v>
      </c>
      <c r="Q230" s="12" t="str">
        <f t="shared" si="145"/>
        <v>HL</v>
      </c>
      <c r="R230" s="12" t="str">
        <f t="shared" si="146"/>
        <v>HL</v>
      </c>
      <c r="S230" s="12" t="str">
        <f t="shared" si="147"/>
        <v>HW</v>
      </c>
      <c r="T230" s="12" t="str">
        <f t="shared" si="148"/>
        <v>HW</v>
      </c>
      <c r="U230" s="12" t="str">
        <f t="shared" si="149"/>
        <v>U</v>
      </c>
      <c r="V230" s="12" t="str">
        <f t="shared" si="150"/>
        <v>O</v>
      </c>
      <c r="W230" s="12" t="str">
        <f t="shared" si="151"/>
        <v>U</v>
      </c>
      <c r="X230" s="12" t="str">
        <f t="shared" si="152"/>
        <v>O</v>
      </c>
      <c r="Y230" s="12"/>
      <c r="Z230" s="12">
        <v>52.5</v>
      </c>
      <c r="AA230" s="12" t="str">
        <f t="shared" si="132"/>
        <v>NYK/SAS</v>
      </c>
    </row>
    <row r="231" spans="1:27" ht="17.100000000000001" x14ac:dyDescent="0.45">
      <c r="A231" s="12">
        <v>191124</v>
      </c>
      <c r="B231" s="1">
        <v>0.39583333333333331</v>
      </c>
      <c r="C231" s="12" t="s">
        <v>265</v>
      </c>
      <c r="D231" s="5" t="s">
        <v>264</v>
      </c>
      <c r="E231" s="12">
        <v>28</v>
      </c>
      <c r="F231" s="12">
        <v>27</v>
      </c>
      <c r="G231" s="12">
        <v>37</v>
      </c>
      <c r="H231" s="12">
        <v>21</v>
      </c>
      <c r="I231" s="12"/>
      <c r="J231" s="12">
        <v>13</v>
      </c>
      <c r="K231" s="12">
        <v>22</v>
      </c>
      <c r="L231" s="12">
        <v>24</v>
      </c>
      <c r="M231" s="12">
        <v>27</v>
      </c>
      <c r="O231" s="12">
        <f t="shared" si="143"/>
        <v>113</v>
      </c>
      <c r="P231" s="12">
        <f t="shared" si="144"/>
        <v>86</v>
      </c>
      <c r="Q231" s="12" t="str">
        <f t="shared" si="145"/>
        <v>HW</v>
      </c>
      <c r="R231" s="12" t="str">
        <f t="shared" si="146"/>
        <v>HW</v>
      </c>
      <c r="S231" s="12" t="str">
        <f t="shared" si="147"/>
        <v>HW</v>
      </c>
      <c r="T231" s="12" t="str">
        <f t="shared" si="148"/>
        <v>HL</v>
      </c>
      <c r="U231" s="12" t="str">
        <f t="shared" si="149"/>
        <v>U</v>
      </c>
      <c r="V231" s="12" t="str">
        <f t="shared" si="150"/>
        <v>U</v>
      </c>
      <c r="W231" s="12" t="str">
        <f t="shared" si="151"/>
        <v>O</v>
      </c>
      <c r="X231" s="12" t="str">
        <f t="shared" si="152"/>
        <v>U</v>
      </c>
      <c r="Y231" s="12"/>
      <c r="Z231" s="12">
        <v>54.5</v>
      </c>
      <c r="AA231" s="12" t="str">
        <f t="shared" si="132"/>
        <v>PHI/MIA</v>
      </c>
    </row>
    <row r="232" spans="1:27" ht="17.100000000000001" x14ac:dyDescent="0.45">
      <c r="A232" s="12">
        <v>191124</v>
      </c>
      <c r="B232" s="1">
        <v>0.41666666666666669</v>
      </c>
      <c r="C232" s="12" t="s">
        <v>270</v>
      </c>
      <c r="D232" s="5" t="s">
        <v>283</v>
      </c>
      <c r="E232" s="12">
        <v>19</v>
      </c>
      <c r="F232" s="12">
        <v>30</v>
      </c>
      <c r="G232" s="12">
        <v>27</v>
      </c>
      <c r="H232" s="12">
        <v>34</v>
      </c>
      <c r="I232" s="12"/>
      <c r="J232" s="12">
        <v>19</v>
      </c>
      <c r="K232" s="12">
        <v>23</v>
      </c>
      <c r="L232" s="12">
        <v>27</v>
      </c>
      <c r="M232" s="12">
        <v>35</v>
      </c>
      <c r="O232" s="12">
        <f t="shared" si="143"/>
        <v>110</v>
      </c>
      <c r="P232" s="12">
        <f t="shared" si="144"/>
        <v>104</v>
      </c>
      <c r="Q232" s="12" t="str">
        <f t="shared" si="145"/>
        <v>TT</v>
      </c>
      <c r="R232" s="12" t="str">
        <f t="shared" si="146"/>
        <v>HW</v>
      </c>
      <c r="S232" s="12" t="str">
        <f t="shared" si="147"/>
        <v>TT</v>
      </c>
      <c r="T232" s="12" t="str">
        <f t="shared" si="148"/>
        <v>HL</v>
      </c>
      <c r="U232" s="12" t="str">
        <f t="shared" si="149"/>
        <v>U</v>
      </c>
      <c r="V232" s="12" t="str">
        <f t="shared" si="150"/>
        <v>U</v>
      </c>
      <c r="W232" s="12" t="str">
        <f t="shared" si="151"/>
        <v>U</v>
      </c>
      <c r="X232" s="12" t="str">
        <f t="shared" si="152"/>
        <v>O</v>
      </c>
      <c r="Y232" s="12"/>
      <c r="Z232" s="12">
        <v>55</v>
      </c>
      <c r="AA232" s="12" t="str">
        <f t="shared" si="132"/>
        <v>CLE/POR</v>
      </c>
    </row>
    <row r="233" spans="1:27" ht="17.100000000000001" x14ac:dyDescent="0.45">
      <c r="A233" s="12">
        <v>191124</v>
      </c>
      <c r="B233" s="1">
        <v>0.41666666666666669</v>
      </c>
      <c r="C233" s="12" t="s">
        <v>284</v>
      </c>
      <c r="D233" s="5" t="s">
        <v>268</v>
      </c>
      <c r="E233" s="12">
        <v>35</v>
      </c>
      <c r="F233" s="12">
        <v>28</v>
      </c>
      <c r="G233" s="12">
        <v>21</v>
      </c>
      <c r="H233" s="12">
        <v>24</v>
      </c>
      <c r="I233" s="12"/>
      <c r="J233" s="12">
        <v>25</v>
      </c>
      <c r="K233" s="12">
        <v>30</v>
      </c>
      <c r="L233" s="12">
        <v>30</v>
      </c>
      <c r="M233" s="12">
        <v>24</v>
      </c>
      <c r="O233" s="12">
        <f t="shared" si="143"/>
        <v>108</v>
      </c>
      <c r="P233" s="12">
        <f t="shared" si="144"/>
        <v>109</v>
      </c>
      <c r="Q233" s="12" t="str">
        <f t="shared" si="145"/>
        <v>HW</v>
      </c>
      <c r="R233" s="12" t="str">
        <f t="shared" si="146"/>
        <v>HL</v>
      </c>
      <c r="S233" s="12" t="str">
        <f t="shared" si="147"/>
        <v>HL</v>
      </c>
      <c r="T233" s="12" t="str">
        <f t="shared" si="148"/>
        <v>TT</v>
      </c>
      <c r="U233" s="12" t="str">
        <f t="shared" si="149"/>
        <v>O</v>
      </c>
      <c r="V233" s="12" t="str">
        <f t="shared" si="150"/>
        <v>O</v>
      </c>
      <c r="W233" s="12" t="str">
        <f t="shared" si="151"/>
        <v>U</v>
      </c>
      <c r="X233" s="12" t="str">
        <f t="shared" si="152"/>
        <v>U</v>
      </c>
      <c r="Y233" s="12"/>
      <c r="Z233" s="12">
        <v>57.5</v>
      </c>
      <c r="AA233" s="12" t="str">
        <f t="shared" si="132"/>
        <v>MEM/LAL</v>
      </c>
    </row>
    <row r="234" spans="1:27" ht="17.100000000000001" x14ac:dyDescent="0.45">
      <c r="A234" s="12">
        <v>191124</v>
      </c>
      <c r="B234" s="1">
        <v>0.4375</v>
      </c>
      <c r="C234" s="12" t="s">
        <v>285</v>
      </c>
      <c r="D234" s="5" t="s">
        <v>257</v>
      </c>
      <c r="E234" s="12">
        <v>27</v>
      </c>
      <c r="F234" s="12">
        <v>27</v>
      </c>
      <c r="G234" s="12">
        <v>23</v>
      </c>
      <c r="H234" s="12">
        <v>27</v>
      </c>
      <c r="I234" s="12"/>
      <c r="J234" s="12">
        <v>24</v>
      </c>
      <c r="K234" s="12">
        <v>23</v>
      </c>
      <c r="L234" s="12">
        <v>22</v>
      </c>
      <c r="M234" s="12">
        <v>21</v>
      </c>
      <c r="O234" s="12">
        <f t="shared" si="143"/>
        <v>104</v>
      </c>
      <c r="P234" s="12">
        <f t="shared" si="144"/>
        <v>90</v>
      </c>
      <c r="Q234" s="12" t="str">
        <f t="shared" si="145"/>
        <v>HW</v>
      </c>
      <c r="R234" s="12" t="str">
        <f t="shared" si="146"/>
        <v>HW</v>
      </c>
      <c r="S234" s="12" t="str">
        <f t="shared" si="147"/>
        <v>HW</v>
      </c>
      <c r="T234" s="12" t="str">
        <f t="shared" si="148"/>
        <v>HW</v>
      </c>
      <c r="U234" s="12" t="str">
        <f t="shared" si="149"/>
        <v>U</v>
      </c>
      <c r="V234" s="12" t="str">
        <f t="shared" si="150"/>
        <v>U</v>
      </c>
      <c r="W234" s="12" t="str">
        <f t="shared" si="151"/>
        <v>U</v>
      </c>
      <c r="X234" s="12" t="str">
        <f t="shared" si="152"/>
        <v>U</v>
      </c>
      <c r="Y234" s="12"/>
      <c r="Z234" s="12">
        <v>58</v>
      </c>
      <c r="AA234" s="12" t="str">
        <f t="shared" si="132"/>
        <v>MIL/DET</v>
      </c>
    </row>
    <row r="235" spans="1:27" ht="17.100000000000001" x14ac:dyDescent="0.45">
      <c r="A235" s="12">
        <v>191124</v>
      </c>
      <c r="B235" s="1">
        <v>0.45833333333333331</v>
      </c>
      <c r="C235" s="12" t="s">
        <v>273</v>
      </c>
      <c r="D235" s="5" t="s">
        <v>286</v>
      </c>
      <c r="E235" s="12">
        <v>44</v>
      </c>
      <c r="F235" s="12">
        <v>30</v>
      </c>
      <c r="G235" s="12">
        <v>24</v>
      </c>
      <c r="H235" s="12">
        <v>30</v>
      </c>
      <c r="I235" s="12"/>
      <c r="J235" s="12">
        <v>31</v>
      </c>
      <c r="K235" s="12">
        <v>23</v>
      </c>
      <c r="L235" s="12">
        <v>34</v>
      </c>
      <c r="M235" s="12">
        <v>32</v>
      </c>
      <c r="O235" s="12">
        <f t="shared" si="143"/>
        <v>128</v>
      </c>
      <c r="P235" s="12">
        <f t="shared" si="144"/>
        <v>120</v>
      </c>
      <c r="Q235" s="12" t="str">
        <f t="shared" si="145"/>
        <v>HW</v>
      </c>
      <c r="R235" s="12" t="str">
        <f t="shared" si="146"/>
        <v>HW</v>
      </c>
      <c r="S235" s="12" t="str">
        <f t="shared" si="147"/>
        <v>HL</v>
      </c>
      <c r="T235" s="12" t="str">
        <f t="shared" si="148"/>
        <v>HL</v>
      </c>
      <c r="U235" s="12" t="str">
        <f t="shared" si="149"/>
        <v>O</v>
      </c>
      <c r="V235" s="12" t="str">
        <f t="shared" si="150"/>
        <v>U</v>
      </c>
      <c r="W235" s="12" t="str">
        <f t="shared" si="151"/>
        <v>O</v>
      </c>
      <c r="X235" s="12" t="str">
        <f t="shared" si="152"/>
        <v>O</v>
      </c>
      <c r="Y235" s="12"/>
      <c r="Z235" s="12">
        <v>57</v>
      </c>
      <c r="AA235" s="12" t="str">
        <f t="shared" si="132"/>
        <v>UTA/NO</v>
      </c>
    </row>
    <row r="236" spans="1:27" ht="17.100000000000001" x14ac:dyDescent="0.45">
      <c r="A236" s="12">
        <v>191125</v>
      </c>
      <c r="B236" s="1">
        <v>0.22916666666666666</v>
      </c>
      <c r="C236" s="12" t="s">
        <v>276</v>
      </c>
      <c r="D236" s="5" t="s">
        <v>269</v>
      </c>
      <c r="E236" s="12">
        <v>29</v>
      </c>
      <c r="F236" s="12">
        <v>31</v>
      </c>
      <c r="G236" s="12">
        <v>35</v>
      </c>
      <c r="H236" s="12">
        <v>28</v>
      </c>
      <c r="I236" s="12"/>
      <c r="J236" s="12">
        <v>45</v>
      </c>
      <c r="K236" s="12">
        <v>33</v>
      </c>
      <c r="L236" s="12">
        <v>27</v>
      </c>
      <c r="M236" s="12">
        <v>32</v>
      </c>
      <c r="O236" s="12">
        <f t="shared" si="143"/>
        <v>123</v>
      </c>
      <c r="P236" s="12">
        <f t="shared" si="144"/>
        <v>137</v>
      </c>
      <c r="Q236" s="12" t="str">
        <f t="shared" si="145"/>
        <v>HL</v>
      </c>
      <c r="R236" s="12" t="str">
        <f t="shared" si="146"/>
        <v>HL</v>
      </c>
      <c r="S236" s="12" t="str">
        <f t="shared" si="147"/>
        <v>HW</v>
      </c>
      <c r="T236" s="12" t="str">
        <f t="shared" si="148"/>
        <v>HL</v>
      </c>
      <c r="U236" s="12" t="str">
        <f t="shared" si="149"/>
        <v>O</v>
      </c>
      <c r="V236" s="12" t="str">
        <f t="shared" si="150"/>
        <v>O</v>
      </c>
      <c r="W236" s="12" t="str">
        <f t="shared" si="151"/>
        <v>O</v>
      </c>
      <c r="X236" s="12" t="str">
        <f t="shared" si="152"/>
        <v>O</v>
      </c>
      <c r="Y236" s="12"/>
      <c r="Z236" s="12">
        <v>59.5</v>
      </c>
      <c r="AA236" s="12" t="str">
        <f t="shared" si="132"/>
        <v>HOU/DAL</v>
      </c>
    </row>
    <row r="237" spans="1:27" ht="17.100000000000001" x14ac:dyDescent="0.45">
      <c r="A237" s="12">
        <v>191125</v>
      </c>
      <c r="B237" s="1">
        <v>0.33333333333333331</v>
      </c>
      <c r="C237" s="12" t="s">
        <v>282</v>
      </c>
      <c r="D237" s="5" t="s">
        <v>261</v>
      </c>
      <c r="E237" s="12">
        <v>22</v>
      </c>
      <c r="F237" s="12">
        <v>24</v>
      </c>
      <c r="G237" s="12">
        <v>26</v>
      </c>
      <c r="H237" s="12">
        <v>29</v>
      </c>
      <c r="I237" s="12"/>
      <c r="J237" s="12">
        <v>29</v>
      </c>
      <c r="K237" s="12">
        <v>23</v>
      </c>
      <c r="L237" s="12">
        <v>30</v>
      </c>
      <c r="M237" s="12">
        <v>21</v>
      </c>
      <c r="O237" s="12">
        <f t="shared" si="143"/>
        <v>101</v>
      </c>
      <c r="P237" s="12">
        <f t="shared" si="144"/>
        <v>103</v>
      </c>
      <c r="Q237" s="12" t="str">
        <f t="shared" si="145"/>
        <v>HL</v>
      </c>
      <c r="R237" s="12" t="str">
        <f t="shared" si="146"/>
        <v>HW</v>
      </c>
      <c r="S237" s="12" t="str">
        <f t="shared" si="147"/>
        <v>HL</v>
      </c>
      <c r="T237" s="12" t="str">
        <f t="shared" si="148"/>
        <v>HW</v>
      </c>
      <c r="U237" s="12" t="str">
        <f t="shared" si="149"/>
        <v>U</v>
      </c>
      <c r="V237" s="12" t="str">
        <f t="shared" si="150"/>
        <v>U</v>
      </c>
      <c r="W237" s="12" t="str">
        <f t="shared" si="151"/>
        <v>O</v>
      </c>
      <c r="X237" s="12" t="str">
        <f t="shared" si="152"/>
        <v>U</v>
      </c>
      <c r="Y237" s="12"/>
      <c r="Z237" s="12">
        <v>52</v>
      </c>
      <c r="AA237" s="12" t="str">
        <f t="shared" si="132"/>
        <v>NYK/BKN</v>
      </c>
    </row>
    <row r="238" spans="1:27" ht="17.100000000000001" x14ac:dyDescent="0.45">
      <c r="A238" s="12">
        <v>191125</v>
      </c>
      <c r="B238" s="1">
        <v>0.33333333333333331</v>
      </c>
      <c r="C238" s="12" t="s">
        <v>259</v>
      </c>
      <c r="D238" s="5" t="s">
        <v>262</v>
      </c>
      <c r="E238" s="12">
        <v>27</v>
      </c>
      <c r="F238" s="12">
        <v>30</v>
      </c>
      <c r="G238" s="12">
        <v>28</v>
      </c>
      <c r="H238" s="12">
        <v>21</v>
      </c>
      <c r="I238" s="12"/>
      <c r="J238" s="12">
        <v>24</v>
      </c>
      <c r="K238" s="12">
        <v>33</v>
      </c>
      <c r="L238" s="12">
        <v>33</v>
      </c>
      <c r="M238" s="12">
        <v>23</v>
      </c>
      <c r="O238" s="12">
        <f t="shared" si="143"/>
        <v>106</v>
      </c>
      <c r="P238" s="12">
        <f t="shared" si="144"/>
        <v>113</v>
      </c>
      <c r="Q238" s="12" t="str">
        <f t="shared" si="145"/>
        <v>HW</v>
      </c>
      <c r="R238" s="12" t="str">
        <f t="shared" si="146"/>
        <v>HL</v>
      </c>
      <c r="S238" s="12" t="str">
        <f t="shared" si="147"/>
        <v>HL</v>
      </c>
      <c r="T238" s="12" t="str">
        <f t="shared" si="148"/>
        <v>HL</v>
      </c>
      <c r="U238" s="12" t="str">
        <f t="shared" si="149"/>
        <v>U</v>
      </c>
      <c r="V238" s="12" t="str">
        <f t="shared" si="150"/>
        <v>O</v>
      </c>
      <c r="W238" s="12" t="str">
        <f t="shared" si="151"/>
        <v>O</v>
      </c>
      <c r="X238" s="12" t="str">
        <f t="shared" si="152"/>
        <v>U</v>
      </c>
      <c r="Y238" s="12"/>
      <c r="Z238" s="12">
        <v>60.5</v>
      </c>
      <c r="AA238" s="12" t="str">
        <f t="shared" si="132"/>
        <v>WAS/SAC</v>
      </c>
    </row>
    <row r="239" spans="1:27" ht="17.100000000000001" x14ac:dyDescent="0.45">
      <c r="A239" s="12">
        <v>191125</v>
      </c>
      <c r="B239" s="1">
        <v>0.41666666666666669</v>
      </c>
      <c r="C239" s="12" t="s">
        <v>271</v>
      </c>
      <c r="D239" s="5" t="s">
        <v>278</v>
      </c>
      <c r="E239" s="12">
        <v>28</v>
      </c>
      <c r="F239" s="12">
        <v>24</v>
      </c>
      <c r="G239" s="12">
        <v>27</v>
      </c>
      <c r="H239" s="12">
        <v>37</v>
      </c>
      <c r="I239" s="12"/>
      <c r="J239" s="12">
        <v>28</v>
      </c>
      <c r="K239" s="12">
        <v>29</v>
      </c>
      <c r="L239" s="12">
        <v>20</v>
      </c>
      <c r="M239" s="12">
        <v>27</v>
      </c>
      <c r="O239" s="12">
        <f t="shared" si="143"/>
        <v>116</v>
      </c>
      <c r="P239" s="12">
        <f t="shared" si="144"/>
        <v>104</v>
      </c>
      <c r="Q239" s="12" t="str">
        <f t="shared" si="145"/>
        <v>TT</v>
      </c>
      <c r="R239" s="12" t="str">
        <f t="shared" si="146"/>
        <v>HL</v>
      </c>
      <c r="S239" s="12" t="str">
        <f t="shared" si="147"/>
        <v>HW</v>
      </c>
      <c r="T239" s="12" t="str">
        <f t="shared" si="148"/>
        <v>HW</v>
      </c>
      <c r="U239" s="12" t="str">
        <f t="shared" si="149"/>
        <v>O</v>
      </c>
      <c r="V239" s="12" t="str">
        <f t="shared" si="150"/>
        <v>O</v>
      </c>
      <c r="W239" s="12" t="str">
        <f t="shared" si="151"/>
        <v>U</v>
      </c>
      <c r="X239" s="12" t="str">
        <f t="shared" si="152"/>
        <v>O</v>
      </c>
      <c r="Y239" s="12"/>
      <c r="Z239" s="12">
        <v>52</v>
      </c>
      <c r="AA239" s="12" t="str">
        <f t="shared" si="132"/>
        <v>DEN/PHO</v>
      </c>
    </row>
    <row r="240" spans="1:27" ht="17.100000000000001" x14ac:dyDescent="0.45">
      <c r="A240" s="12">
        <v>191125</v>
      </c>
      <c r="B240" s="1">
        <v>0.45833333333333331</v>
      </c>
      <c r="C240" s="12" t="s">
        <v>275</v>
      </c>
      <c r="D240" s="5" t="s">
        <v>286</v>
      </c>
      <c r="E240" s="12">
        <v>40</v>
      </c>
      <c r="F240" s="12">
        <v>32</v>
      </c>
      <c r="G240" s="12">
        <v>28</v>
      </c>
      <c r="H240" s="12">
        <v>34</v>
      </c>
      <c r="I240" s="12"/>
      <c r="J240" s="12">
        <v>27</v>
      </c>
      <c r="K240" s="12">
        <v>29</v>
      </c>
      <c r="L240" s="12">
        <v>31</v>
      </c>
      <c r="M240" s="12">
        <v>22</v>
      </c>
      <c r="O240" s="12">
        <f t="shared" si="143"/>
        <v>134</v>
      </c>
      <c r="P240" s="12">
        <f t="shared" si="144"/>
        <v>109</v>
      </c>
      <c r="Q240" s="12" t="str">
        <f t="shared" si="145"/>
        <v>HW</v>
      </c>
      <c r="R240" s="12" t="str">
        <f t="shared" si="146"/>
        <v>HW</v>
      </c>
      <c r="S240" s="12" t="str">
        <f t="shared" si="147"/>
        <v>HL</v>
      </c>
      <c r="T240" s="12" t="str">
        <f t="shared" si="148"/>
        <v>HW</v>
      </c>
      <c r="U240" s="12" t="str">
        <f t="shared" si="149"/>
        <v>O</v>
      </c>
      <c r="V240" s="12" t="str">
        <f t="shared" si="150"/>
        <v>O</v>
      </c>
      <c r="W240" s="12" t="str">
        <f t="shared" si="151"/>
        <v>U</v>
      </c>
      <c r="X240" s="12" t="str">
        <f t="shared" si="152"/>
        <v>U</v>
      </c>
      <c r="Y240" s="12"/>
      <c r="Z240" s="12">
        <v>59.5</v>
      </c>
      <c r="AA240" s="12" t="str">
        <f t="shared" ref="AA240:AA331" si="153">C240&amp;"/"&amp;D240</f>
        <v>LAC/NO</v>
      </c>
    </row>
    <row r="241" spans="1:27" ht="17.100000000000001" x14ac:dyDescent="0.45">
      <c r="A241" s="12">
        <v>191126</v>
      </c>
      <c r="B241" s="1">
        <v>0.375</v>
      </c>
      <c r="C241" s="12" t="s">
        <v>270</v>
      </c>
      <c r="D241" s="5" t="s">
        <v>261</v>
      </c>
      <c r="E241" s="12">
        <v>26</v>
      </c>
      <c r="F241" s="12">
        <v>25</v>
      </c>
      <c r="G241" s="12">
        <v>24</v>
      </c>
      <c r="H241" s="12">
        <v>31</v>
      </c>
      <c r="I241" s="12"/>
      <c r="J241" s="12">
        <v>25</v>
      </c>
      <c r="K241" s="12">
        <v>27</v>
      </c>
      <c r="L241" s="12">
        <v>29</v>
      </c>
      <c r="M241" s="12">
        <v>27</v>
      </c>
      <c r="O241" s="12">
        <f t="shared" si="143"/>
        <v>106</v>
      </c>
      <c r="P241" s="12">
        <f t="shared" si="144"/>
        <v>108</v>
      </c>
      <c r="Q241" s="12" t="str">
        <f t="shared" si="145"/>
        <v>HW</v>
      </c>
      <c r="R241" s="12" t="str">
        <f t="shared" si="146"/>
        <v>HL</v>
      </c>
      <c r="S241" s="12" t="str">
        <f t="shared" si="147"/>
        <v>HL</v>
      </c>
      <c r="T241" s="12" t="str">
        <f t="shared" si="148"/>
        <v>HW</v>
      </c>
      <c r="U241" s="12" t="str">
        <f t="shared" si="149"/>
        <v>U</v>
      </c>
      <c r="V241" s="12" t="str">
        <f t="shared" si="150"/>
        <v>U</v>
      </c>
      <c r="W241" s="12" t="str">
        <f t="shared" si="151"/>
        <v>T</v>
      </c>
      <c r="X241" s="12" t="str">
        <f t="shared" si="152"/>
        <v>O</v>
      </c>
      <c r="Y241" s="12"/>
      <c r="Z241" s="12">
        <v>53</v>
      </c>
      <c r="AA241" s="12" t="str">
        <f t="shared" si="153"/>
        <v>CLE/BKN</v>
      </c>
    </row>
    <row r="242" spans="1:27" ht="17.100000000000001" x14ac:dyDescent="0.45">
      <c r="A242" s="12">
        <v>191126</v>
      </c>
      <c r="B242" s="1">
        <v>0.375</v>
      </c>
      <c r="C242" s="12" t="s">
        <v>257</v>
      </c>
      <c r="D242" s="5" t="s">
        <v>280</v>
      </c>
      <c r="E242" s="12">
        <v>23</v>
      </c>
      <c r="F242" s="12">
        <v>30</v>
      </c>
      <c r="G242" s="12">
        <v>25</v>
      </c>
      <c r="H242" s="12">
        <v>25</v>
      </c>
      <c r="I242" s="12"/>
      <c r="J242" s="12">
        <v>31</v>
      </c>
      <c r="K242" s="12">
        <v>24</v>
      </c>
      <c r="L242" s="12">
        <v>15</v>
      </c>
      <c r="M242" s="12">
        <v>18</v>
      </c>
      <c r="O242" s="12">
        <f t="shared" si="143"/>
        <v>103</v>
      </c>
      <c r="P242" s="12">
        <f t="shared" si="144"/>
        <v>88</v>
      </c>
      <c r="Q242" s="12" t="str">
        <f t="shared" si="145"/>
        <v>HL</v>
      </c>
      <c r="R242" s="12" t="str">
        <f t="shared" si="146"/>
        <v>HW</v>
      </c>
      <c r="S242" s="12" t="str">
        <f t="shared" si="147"/>
        <v>HW</v>
      </c>
      <c r="T242" s="12" t="str">
        <f t="shared" si="148"/>
        <v>HW</v>
      </c>
      <c r="U242" s="12" t="str">
        <f t="shared" si="149"/>
        <v>O</v>
      </c>
      <c r="V242" s="12" t="str">
        <f t="shared" si="150"/>
        <v>O</v>
      </c>
      <c r="W242" s="12" t="str">
        <f t="shared" si="151"/>
        <v>U</v>
      </c>
      <c r="X242" s="12" t="str">
        <f t="shared" si="152"/>
        <v>U</v>
      </c>
      <c r="Y242" s="12"/>
      <c r="Z242" s="12">
        <v>53.5</v>
      </c>
      <c r="AA242" s="12" t="str">
        <f t="shared" si="153"/>
        <v>DET/ORL</v>
      </c>
    </row>
    <row r="243" spans="1:27" ht="17.100000000000001" x14ac:dyDescent="0.45">
      <c r="A243" s="12">
        <v>191126</v>
      </c>
      <c r="B243" s="1">
        <v>0.375</v>
      </c>
      <c r="C243" s="12" t="s">
        <v>279</v>
      </c>
      <c r="D243" s="5" t="s">
        <v>284</v>
      </c>
      <c r="E243" s="12">
        <v>36</v>
      </c>
      <c r="F243" s="12">
        <v>31</v>
      </c>
      <c r="G243" s="12">
        <v>37</v>
      </c>
      <c r="H243" s="12">
        <v>22</v>
      </c>
      <c r="I243" s="12"/>
      <c r="J243" s="12">
        <v>27</v>
      </c>
      <c r="K243" s="12">
        <v>29</v>
      </c>
      <c r="L243" s="12">
        <v>27</v>
      </c>
      <c r="M243" s="12">
        <v>31</v>
      </c>
      <c r="O243" s="12">
        <f t="shared" si="143"/>
        <v>126</v>
      </c>
      <c r="P243" s="12">
        <f t="shared" si="144"/>
        <v>114</v>
      </c>
      <c r="Q243" s="12" t="str">
        <f t="shared" si="145"/>
        <v>HW</v>
      </c>
      <c r="R243" s="12" t="str">
        <f t="shared" si="146"/>
        <v>HW</v>
      </c>
      <c r="S243" s="12" t="str">
        <f t="shared" si="147"/>
        <v>HW</v>
      </c>
      <c r="T243" s="12" t="str">
        <f t="shared" si="148"/>
        <v>HL</v>
      </c>
      <c r="U243" s="12" t="str">
        <f t="shared" si="149"/>
        <v>O</v>
      </c>
      <c r="V243" s="12" t="str">
        <f t="shared" si="150"/>
        <v>O</v>
      </c>
      <c r="W243" s="12" t="str">
        <f t="shared" si="151"/>
        <v>O</v>
      </c>
      <c r="X243" s="12" t="str">
        <f t="shared" si="152"/>
        <v>U</v>
      </c>
      <c r="Y243" s="12"/>
      <c r="Z243" s="12">
        <v>53.5</v>
      </c>
      <c r="AA243" s="12" t="str">
        <f t="shared" si="153"/>
        <v>IND/MEM</v>
      </c>
    </row>
    <row r="244" spans="1:27" ht="17.100000000000001" x14ac:dyDescent="0.45">
      <c r="A244" s="12">
        <v>191126</v>
      </c>
      <c r="B244" s="1">
        <v>0.39583333333333331</v>
      </c>
      <c r="C244" s="12" t="s">
        <v>258</v>
      </c>
      <c r="D244" s="5" t="s">
        <v>277</v>
      </c>
      <c r="E244" s="12">
        <v>30</v>
      </c>
      <c r="F244" s="12">
        <v>34</v>
      </c>
      <c r="G244" s="12">
        <v>26</v>
      </c>
      <c r="H244" s="12">
        <v>23</v>
      </c>
      <c r="I244" s="12"/>
      <c r="J244" s="12">
        <v>38</v>
      </c>
      <c r="K244" s="12">
        <v>16</v>
      </c>
      <c r="L244" s="12">
        <v>39</v>
      </c>
      <c r="M244" s="12">
        <v>32</v>
      </c>
      <c r="O244" s="12">
        <f t="shared" si="143"/>
        <v>113</v>
      </c>
      <c r="P244" s="12">
        <f t="shared" si="144"/>
        <v>125</v>
      </c>
      <c r="Q244" s="12" t="str">
        <f t="shared" si="145"/>
        <v>HL</v>
      </c>
      <c r="R244" s="12" t="str">
        <f t="shared" si="146"/>
        <v>HW</v>
      </c>
      <c r="S244" s="12" t="str">
        <f t="shared" si="147"/>
        <v>HL</v>
      </c>
      <c r="T244" s="12" t="str">
        <f t="shared" si="148"/>
        <v>HL</v>
      </c>
      <c r="U244" s="12" t="str">
        <f t="shared" si="149"/>
        <v>O</v>
      </c>
      <c r="V244" s="12" t="str">
        <f t="shared" si="150"/>
        <v>U</v>
      </c>
      <c r="W244" s="12" t="str">
        <f t="shared" si="151"/>
        <v>O</v>
      </c>
      <c r="X244" s="12" t="str">
        <f t="shared" si="152"/>
        <v>U</v>
      </c>
      <c r="Y244" s="12"/>
      <c r="Z244" s="12">
        <v>60</v>
      </c>
      <c r="AA244" s="12" t="str">
        <f t="shared" si="153"/>
        <v>ATL/MIN</v>
      </c>
    </row>
    <row r="245" spans="1:27" ht="17.100000000000001" x14ac:dyDescent="0.45">
      <c r="A245" s="12">
        <v>191126</v>
      </c>
      <c r="B245" s="1">
        <v>0.39583333333333331</v>
      </c>
      <c r="C245" s="12" t="s">
        <v>272</v>
      </c>
      <c r="D245" s="5" t="s">
        <v>262</v>
      </c>
      <c r="E245" s="12">
        <v>19</v>
      </c>
      <c r="F245" s="12">
        <v>34</v>
      </c>
      <c r="G245" s="12">
        <v>22</v>
      </c>
      <c r="H245" s="12">
        <v>28</v>
      </c>
      <c r="I245" s="12"/>
      <c r="J245" s="12">
        <v>22</v>
      </c>
      <c r="K245" s="12">
        <v>24</v>
      </c>
      <c r="L245" s="12">
        <v>29</v>
      </c>
      <c r="M245" s="12">
        <v>27</v>
      </c>
      <c r="O245" s="12">
        <f t="shared" si="143"/>
        <v>103</v>
      </c>
      <c r="P245" s="12">
        <f t="shared" si="144"/>
        <v>102</v>
      </c>
      <c r="Q245" s="12" t="str">
        <f t="shared" si="145"/>
        <v>HL</v>
      </c>
      <c r="R245" s="12" t="str">
        <f t="shared" si="146"/>
        <v>HW</v>
      </c>
      <c r="S245" s="12" t="str">
        <f t="shared" si="147"/>
        <v>HL</v>
      </c>
      <c r="T245" s="12" t="str">
        <f t="shared" si="148"/>
        <v>HW</v>
      </c>
      <c r="U245" s="12" t="str">
        <f t="shared" si="149"/>
        <v>U</v>
      </c>
      <c r="V245" s="12" t="str">
        <f t="shared" si="150"/>
        <v>O</v>
      </c>
      <c r="W245" s="12" t="str">
        <f t="shared" si="151"/>
        <v>U</v>
      </c>
      <c r="X245" s="12" t="str">
        <f t="shared" si="152"/>
        <v>O</v>
      </c>
      <c r="Y245" s="12"/>
      <c r="Z245" s="12">
        <v>52.5</v>
      </c>
      <c r="AA245" s="12" t="str">
        <f t="shared" si="153"/>
        <v>BOS/SAC</v>
      </c>
    </row>
    <row r="246" spans="1:27" ht="17.100000000000001" x14ac:dyDescent="0.45">
      <c r="A246" s="12">
        <v>191126</v>
      </c>
      <c r="B246" s="1">
        <v>0.39583333333333331</v>
      </c>
      <c r="C246" s="12" t="s">
        <v>264</v>
      </c>
      <c r="D246" s="5" t="s">
        <v>260</v>
      </c>
      <c r="E246" s="12">
        <v>36</v>
      </c>
      <c r="F246" s="12">
        <v>33</v>
      </c>
      <c r="G246" s="12">
        <v>29</v>
      </c>
      <c r="H246" s="12">
        <v>19</v>
      </c>
      <c r="I246" s="12"/>
      <c r="J246" s="12">
        <v>31</v>
      </c>
      <c r="K246" s="12">
        <v>27</v>
      </c>
      <c r="L246" s="12">
        <v>24</v>
      </c>
      <c r="M246" s="12">
        <v>18</v>
      </c>
      <c r="O246" s="12">
        <f t="shared" si="143"/>
        <v>117</v>
      </c>
      <c r="P246" s="12">
        <f t="shared" si="144"/>
        <v>100</v>
      </c>
      <c r="Q246" s="12" t="str">
        <f t="shared" si="145"/>
        <v>HW</v>
      </c>
      <c r="R246" s="12" t="str">
        <f t="shared" si="146"/>
        <v>HW</v>
      </c>
      <c r="S246" s="12" t="str">
        <f t="shared" si="147"/>
        <v>HW</v>
      </c>
      <c r="T246" s="12" t="str">
        <f t="shared" si="148"/>
        <v>HW</v>
      </c>
      <c r="U246" s="12" t="str">
        <f t="shared" si="149"/>
        <v>O</v>
      </c>
      <c r="V246" s="12" t="str">
        <f t="shared" si="150"/>
        <v>O</v>
      </c>
      <c r="W246" s="12" t="str">
        <f t="shared" si="151"/>
        <v>U</v>
      </c>
      <c r="X246" s="12" t="str">
        <f t="shared" si="152"/>
        <v>U</v>
      </c>
      <c r="Y246" s="12"/>
      <c r="Z246" s="12">
        <v>55</v>
      </c>
      <c r="AA246" s="12" t="str">
        <f t="shared" si="153"/>
        <v>MIA/CHA</v>
      </c>
    </row>
    <row r="247" spans="1:27" ht="17.100000000000001" x14ac:dyDescent="0.45">
      <c r="A247" s="12">
        <v>191126</v>
      </c>
      <c r="B247" s="1">
        <v>0.39583333333333331</v>
      </c>
      <c r="C247" s="12" t="s">
        <v>281</v>
      </c>
      <c r="D247" s="5" t="s">
        <v>265</v>
      </c>
      <c r="E247" s="12">
        <v>28</v>
      </c>
      <c r="F247" s="12">
        <v>23</v>
      </c>
      <c r="G247" s="12">
        <v>30</v>
      </c>
      <c r="H247" s="12">
        <v>20</v>
      </c>
      <c r="I247" s="12"/>
      <c r="J247" s="12">
        <v>34</v>
      </c>
      <c r="K247" s="12">
        <v>15</v>
      </c>
      <c r="L247" s="12">
        <v>31</v>
      </c>
      <c r="M247" s="12">
        <v>16</v>
      </c>
      <c r="O247" s="12">
        <f t="shared" si="143"/>
        <v>101</v>
      </c>
      <c r="P247" s="12">
        <f t="shared" si="144"/>
        <v>96</v>
      </c>
      <c r="Q247" s="12" t="str">
        <f t="shared" si="145"/>
        <v>HL</v>
      </c>
      <c r="R247" s="12" t="str">
        <f t="shared" si="146"/>
        <v>HW</v>
      </c>
      <c r="S247" s="12" t="str">
        <f t="shared" si="147"/>
        <v>HL</v>
      </c>
      <c r="T247" s="12" t="str">
        <f t="shared" si="148"/>
        <v>HW</v>
      </c>
      <c r="U247" s="12" t="str">
        <f t="shared" si="149"/>
        <v>O</v>
      </c>
      <c r="V247" s="12" t="str">
        <f t="shared" si="150"/>
        <v>U</v>
      </c>
      <c r="W247" s="12" t="str">
        <f t="shared" si="151"/>
        <v>O</v>
      </c>
      <c r="X247" s="12" t="str">
        <f t="shared" si="152"/>
        <v>U</v>
      </c>
      <c r="Y247" s="12"/>
      <c r="Z247" s="12">
        <v>52</v>
      </c>
      <c r="AA247" s="12" t="str">
        <f t="shared" si="153"/>
        <v>TOR/PHI</v>
      </c>
    </row>
    <row r="248" spans="1:27" ht="17.100000000000001" x14ac:dyDescent="0.45">
      <c r="A248" s="12">
        <v>191126</v>
      </c>
      <c r="B248" s="1">
        <v>0.41666666666666669</v>
      </c>
      <c r="C248" s="12" t="s">
        <v>263</v>
      </c>
      <c r="D248" s="5" t="s">
        <v>283</v>
      </c>
      <c r="E248" s="12">
        <v>28</v>
      </c>
      <c r="F248" s="12">
        <v>26</v>
      </c>
      <c r="G248" s="12">
        <v>18</v>
      </c>
      <c r="H248" s="12">
        <v>22</v>
      </c>
      <c r="I248" s="12"/>
      <c r="J248" s="12">
        <v>27</v>
      </c>
      <c r="K248" s="12">
        <v>35</v>
      </c>
      <c r="L248" s="12">
        <v>30</v>
      </c>
      <c r="M248" s="12">
        <v>25</v>
      </c>
      <c r="O248" s="12">
        <f t="shared" si="143"/>
        <v>94</v>
      </c>
      <c r="P248" s="12">
        <f t="shared" si="144"/>
        <v>117</v>
      </c>
      <c r="Q248" s="12" t="str">
        <f t="shared" si="145"/>
        <v>HW</v>
      </c>
      <c r="R248" s="12" t="str">
        <f t="shared" si="146"/>
        <v>HL</v>
      </c>
      <c r="S248" s="12" t="str">
        <f t="shared" si="147"/>
        <v>HL</v>
      </c>
      <c r="T248" s="12" t="str">
        <f t="shared" si="148"/>
        <v>HL</v>
      </c>
      <c r="U248" s="12" t="str">
        <f t="shared" si="149"/>
        <v>T</v>
      </c>
      <c r="V248" s="12" t="str">
        <f t="shared" si="150"/>
        <v>O</v>
      </c>
      <c r="W248" s="12" t="str">
        <f t="shared" si="151"/>
        <v>U</v>
      </c>
      <c r="X248" s="12" t="str">
        <f t="shared" si="152"/>
        <v>U</v>
      </c>
      <c r="Y248" s="12"/>
      <c r="Z248" s="12">
        <v>55</v>
      </c>
      <c r="AA248" s="12" t="str">
        <f t="shared" si="153"/>
        <v>CHI/POR</v>
      </c>
    </row>
    <row r="249" spans="1:27" ht="17.100000000000001" x14ac:dyDescent="0.45">
      <c r="A249" s="12">
        <v>191126</v>
      </c>
      <c r="B249" s="1">
        <v>0.41666666666666669</v>
      </c>
      <c r="C249" s="12" t="s">
        <v>285</v>
      </c>
      <c r="D249" s="5" t="s">
        <v>273</v>
      </c>
      <c r="E249" s="12">
        <v>23</v>
      </c>
      <c r="F249" s="12">
        <v>25</v>
      </c>
      <c r="G249" s="12">
        <v>42</v>
      </c>
      <c r="H249" s="12">
        <v>32</v>
      </c>
      <c r="I249" s="12"/>
      <c r="J249" s="12">
        <v>25</v>
      </c>
      <c r="K249" s="12">
        <v>32</v>
      </c>
      <c r="L249" s="12">
        <v>26</v>
      </c>
      <c r="M249" s="12">
        <v>35</v>
      </c>
      <c r="O249" s="12">
        <f t="shared" si="143"/>
        <v>122</v>
      </c>
      <c r="P249" s="12">
        <f t="shared" si="144"/>
        <v>118</v>
      </c>
      <c r="Q249" s="12" t="str">
        <f t="shared" si="145"/>
        <v>HL</v>
      </c>
      <c r="R249" s="12" t="str">
        <f t="shared" si="146"/>
        <v>HL</v>
      </c>
      <c r="S249" s="12" t="str">
        <f t="shared" si="147"/>
        <v>HW</v>
      </c>
      <c r="T249" s="12" t="str">
        <f t="shared" si="148"/>
        <v>HL</v>
      </c>
      <c r="U249" s="12" t="str">
        <f t="shared" si="149"/>
        <v>U</v>
      </c>
      <c r="V249" s="12" t="str">
        <f t="shared" si="150"/>
        <v>O</v>
      </c>
      <c r="W249" s="12" t="str">
        <f t="shared" si="151"/>
        <v>O</v>
      </c>
      <c r="X249" s="12" t="str">
        <f t="shared" si="152"/>
        <v>O</v>
      </c>
      <c r="Y249" s="12"/>
      <c r="Z249" s="12">
        <v>55.5</v>
      </c>
      <c r="AA249" s="12" t="str">
        <f t="shared" si="153"/>
        <v>MIL/UTA</v>
      </c>
    </row>
    <row r="250" spans="1:27" ht="17.100000000000001" x14ac:dyDescent="0.45">
      <c r="A250" s="12">
        <v>191126</v>
      </c>
      <c r="B250" s="1">
        <v>0.4375</v>
      </c>
      <c r="C250" s="12" t="s">
        <v>266</v>
      </c>
      <c r="D250" s="5" t="s">
        <v>268</v>
      </c>
      <c r="E250" s="12">
        <v>22</v>
      </c>
      <c r="F250" s="12">
        <v>34</v>
      </c>
      <c r="G250" s="12">
        <v>26</v>
      </c>
      <c r="H250" s="12">
        <v>22</v>
      </c>
      <c r="I250" s="12"/>
      <c r="J250" s="12">
        <v>25</v>
      </c>
      <c r="K250" s="12">
        <v>29</v>
      </c>
      <c r="L250" s="12">
        <v>32</v>
      </c>
      <c r="M250" s="12">
        <v>28</v>
      </c>
      <c r="O250" s="12">
        <f t="shared" si="143"/>
        <v>104</v>
      </c>
      <c r="P250" s="12">
        <f t="shared" si="144"/>
        <v>114</v>
      </c>
      <c r="Q250" s="12" t="str">
        <f t="shared" si="145"/>
        <v>HL</v>
      </c>
      <c r="R250" s="12" t="str">
        <f t="shared" si="146"/>
        <v>HW</v>
      </c>
      <c r="S250" s="12" t="str">
        <f t="shared" si="147"/>
        <v>HL</v>
      </c>
      <c r="T250" s="12" t="str">
        <f t="shared" si="148"/>
        <v>HL</v>
      </c>
      <c r="U250" s="12" t="str">
        <f t="shared" si="149"/>
        <v>U</v>
      </c>
      <c r="V250" s="12" t="str">
        <f t="shared" si="150"/>
        <v>O</v>
      </c>
      <c r="W250" s="12" t="str">
        <f t="shared" si="151"/>
        <v>O</v>
      </c>
      <c r="X250" s="12" t="str">
        <f t="shared" si="152"/>
        <v>U</v>
      </c>
      <c r="Y250" s="12"/>
      <c r="Z250" s="12">
        <v>57.5</v>
      </c>
      <c r="AA250" s="12" t="str">
        <f t="shared" si="153"/>
        <v>SAS/LAL</v>
      </c>
    </row>
    <row r="251" spans="1:27" ht="17.100000000000001" x14ac:dyDescent="0.45">
      <c r="A251" s="12">
        <v>191126</v>
      </c>
      <c r="B251" s="1">
        <v>0.4375</v>
      </c>
      <c r="C251" s="12" t="s">
        <v>274</v>
      </c>
      <c r="D251" s="5" t="s">
        <v>267</v>
      </c>
      <c r="E251" s="12">
        <v>28</v>
      </c>
      <c r="F251" s="12">
        <v>31</v>
      </c>
      <c r="G251" s="12">
        <v>24</v>
      </c>
      <c r="H251" s="12">
        <v>14</v>
      </c>
      <c r="I251" s="12"/>
      <c r="J251" s="12">
        <v>25</v>
      </c>
      <c r="K251" s="12">
        <v>28</v>
      </c>
      <c r="L251" s="12">
        <v>21</v>
      </c>
      <c r="M251" s="12">
        <v>26</v>
      </c>
      <c r="O251" s="12">
        <f t="shared" si="143"/>
        <v>97</v>
      </c>
      <c r="P251" s="12">
        <f t="shared" si="144"/>
        <v>100</v>
      </c>
      <c r="Q251" s="12" t="str">
        <f t="shared" si="145"/>
        <v>HW</v>
      </c>
      <c r="R251" s="12" t="str">
        <f t="shared" si="146"/>
        <v>HW</v>
      </c>
      <c r="S251" s="12" t="str">
        <f t="shared" si="147"/>
        <v>HW</v>
      </c>
      <c r="T251" s="12" t="str">
        <f t="shared" si="148"/>
        <v>HL</v>
      </c>
      <c r="U251" s="12" t="str">
        <f t="shared" si="149"/>
        <v>U</v>
      </c>
      <c r="V251" s="12" t="str">
        <f t="shared" si="150"/>
        <v>O</v>
      </c>
      <c r="W251" s="12" t="str">
        <f t="shared" si="151"/>
        <v>U</v>
      </c>
      <c r="X251" s="12" t="str">
        <f t="shared" si="152"/>
        <v>U</v>
      </c>
      <c r="Y251" s="12"/>
      <c r="Z251" s="12">
        <v>55.5</v>
      </c>
      <c r="AA251" s="12" t="str">
        <f t="shared" si="153"/>
        <v>GS/OKC</v>
      </c>
    </row>
    <row r="252" spans="1:27" ht="17.100000000000001" x14ac:dyDescent="0.45">
      <c r="A252" s="12">
        <v>191127</v>
      </c>
      <c r="B252" s="1">
        <v>0.4375</v>
      </c>
      <c r="C252" s="12" t="s">
        <v>269</v>
      </c>
      <c r="D252" s="5" t="s">
        <v>275</v>
      </c>
      <c r="E252" s="12">
        <v>27</v>
      </c>
      <c r="F252" s="12">
        <v>19</v>
      </c>
      <c r="G252" s="12">
        <v>31</v>
      </c>
      <c r="H252" s="12">
        <v>22</v>
      </c>
      <c r="I252" s="12"/>
      <c r="J252" s="12">
        <v>34</v>
      </c>
      <c r="K252" s="12">
        <v>28</v>
      </c>
      <c r="L252" s="12">
        <v>31</v>
      </c>
      <c r="M252" s="12">
        <v>21</v>
      </c>
      <c r="O252" s="12">
        <f t="shared" si="143"/>
        <v>99</v>
      </c>
      <c r="P252" s="12">
        <f t="shared" si="144"/>
        <v>114</v>
      </c>
      <c r="Q252" s="12" t="str">
        <f t="shared" si="145"/>
        <v>HL</v>
      </c>
      <c r="R252" s="12" t="str">
        <f t="shared" si="146"/>
        <v>HL</v>
      </c>
      <c r="S252" s="12" t="str">
        <f t="shared" si="147"/>
        <v>TT</v>
      </c>
      <c r="T252" s="12" t="str">
        <f t="shared" si="148"/>
        <v>HW</v>
      </c>
      <c r="U252" s="12" t="str">
        <f t="shared" si="149"/>
        <v>O</v>
      </c>
      <c r="V252" s="12" t="str">
        <f t="shared" si="150"/>
        <v>U</v>
      </c>
      <c r="W252" s="12" t="str">
        <f t="shared" si="151"/>
        <v>O</v>
      </c>
      <c r="X252" s="12" t="str">
        <f t="shared" si="152"/>
        <v>U</v>
      </c>
      <c r="Y252" s="12"/>
      <c r="Z252" s="12">
        <v>58.5</v>
      </c>
      <c r="AA252" s="12" t="str">
        <f t="shared" si="153"/>
        <v>DAL/LAC</v>
      </c>
    </row>
    <row r="253" spans="1:27" ht="17.100000000000001" x14ac:dyDescent="0.45">
      <c r="A253" s="12">
        <v>191127</v>
      </c>
      <c r="B253" s="1">
        <v>0.45833333333333331</v>
      </c>
      <c r="C253" s="12" t="s">
        <v>271</v>
      </c>
      <c r="D253" s="5" t="s">
        <v>259</v>
      </c>
      <c r="E253" s="12">
        <v>25</v>
      </c>
      <c r="F253" s="12">
        <v>39</v>
      </c>
      <c r="G253" s="12">
        <v>22</v>
      </c>
      <c r="H253" s="12">
        <v>31</v>
      </c>
      <c r="I253" s="12"/>
      <c r="J253" s="12">
        <v>23</v>
      </c>
      <c r="K253" s="12">
        <v>24</v>
      </c>
      <c r="L253" s="12">
        <v>22</v>
      </c>
      <c r="M253" s="12">
        <v>35</v>
      </c>
      <c r="O253" s="12">
        <f t="shared" si="143"/>
        <v>117</v>
      </c>
      <c r="P253" s="12">
        <f t="shared" si="144"/>
        <v>104</v>
      </c>
      <c r="Q253" s="12" t="str">
        <f t="shared" si="145"/>
        <v>HW</v>
      </c>
      <c r="R253" s="12" t="str">
        <f t="shared" si="146"/>
        <v>HW</v>
      </c>
      <c r="S253" s="12" t="str">
        <f t="shared" si="147"/>
        <v>TT</v>
      </c>
      <c r="T253" s="12" t="str">
        <f t="shared" si="148"/>
        <v>HL</v>
      </c>
      <c r="U253" s="12" t="str">
        <f t="shared" si="149"/>
        <v>U</v>
      </c>
      <c r="V253" s="12" t="str">
        <f t="shared" si="150"/>
        <v>O</v>
      </c>
      <c r="W253" s="12" t="str">
        <f t="shared" si="151"/>
        <v>U</v>
      </c>
      <c r="X253" s="12" t="str">
        <f t="shared" si="152"/>
        <v>O</v>
      </c>
      <c r="Y253" s="12"/>
      <c r="Z253" s="12">
        <v>58.5</v>
      </c>
      <c r="AA253" s="12" t="str">
        <f t="shared" si="153"/>
        <v>DEN/WAS</v>
      </c>
    </row>
    <row r="254" spans="1:27" ht="17.100000000000001" x14ac:dyDescent="0.45">
      <c r="A254" s="12">
        <v>191128</v>
      </c>
      <c r="B254" s="1">
        <v>0.375</v>
      </c>
      <c r="C254" s="11" t="s">
        <v>272</v>
      </c>
      <c r="D254" s="13" t="s">
        <v>261</v>
      </c>
      <c r="E254" s="16">
        <v>30</v>
      </c>
      <c r="F254" s="16">
        <v>27</v>
      </c>
      <c r="G254" s="16">
        <v>34</v>
      </c>
      <c r="H254" s="16">
        <v>30</v>
      </c>
      <c r="I254" s="16"/>
      <c r="J254" s="16">
        <v>23</v>
      </c>
      <c r="K254" s="16">
        <v>40</v>
      </c>
      <c r="L254" s="16">
        <v>23</v>
      </c>
      <c r="M254" s="16">
        <v>24</v>
      </c>
      <c r="O254" s="42">
        <f t="shared" ref="O254:O280" si="154">SUM(E254:I254)</f>
        <v>121</v>
      </c>
      <c r="P254" s="42">
        <f t="shared" ref="P254:P280" si="155">SUM(J254:N254)</f>
        <v>110</v>
      </c>
      <c r="Q254" s="42" t="str">
        <f t="shared" ref="Q254:Q280" si="156">IF(E254=J254,"TT",IF(E254&gt;J254,"HW","HL"))</f>
        <v>HW</v>
      </c>
      <c r="R254" s="42" t="str">
        <f t="shared" ref="R254:R280" si="157">IF(F254=K254,"TT",IF(F254&gt;K254,"HW","HL"))</f>
        <v>HL</v>
      </c>
      <c r="S254" s="42" t="str">
        <f t="shared" ref="S254:S280" si="158">IF(G254=L254,"TT",IF(G254&gt;L254,"HW","HL"))</f>
        <v>HW</v>
      </c>
      <c r="T254" s="42" t="str">
        <f t="shared" ref="T254:T280" si="159">IF(H254=M254,"TT",IF(H254&gt;M254,"HW","HL"))</f>
        <v>HW</v>
      </c>
      <c r="U254" s="42" t="str">
        <f t="shared" ref="U254:U280" si="160">IF(SUM(E254,J254)=$Z254,"T",IF(SUM(E254,J254)&gt;$Z254,"O","U"))</f>
        <v>O</v>
      </c>
      <c r="V254" s="42" t="str">
        <f t="shared" ref="V254:V280" si="161">IF(SUM(F254,K254)=$Z254,"T",IF(SUM(F254,K254)&gt;$Z254,"O","U"))</f>
        <v>O</v>
      </c>
      <c r="W254" s="42" t="str">
        <f t="shared" ref="W254:W280" si="162">IF(SUM(G254,L254)=$Z254,"T",IF(SUM(G254,L254)&gt;$Z254,"O","U"))</f>
        <v>O</v>
      </c>
      <c r="X254" s="42" t="str">
        <f t="shared" ref="X254:X280" si="163">IF(SUM(H254,M254)=$Z254,"T",IF(SUM(H254,M254)&gt;$Z254,"O","U"))</f>
        <v>O</v>
      </c>
      <c r="Z254">
        <v>52.5</v>
      </c>
      <c r="AA254" t="str">
        <f t="shared" si="153"/>
        <v>BOS/BKN</v>
      </c>
    </row>
    <row r="255" spans="1:27" ht="17.100000000000001" x14ac:dyDescent="0.45">
      <c r="A255" s="12">
        <v>191128</v>
      </c>
      <c r="B255" s="1">
        <v>0.375</v>
      </c>
      <c r="C255" t="s">
        <v>270</v>
      </c>
      <c r="D255" s="13" t="s">
        <v>280</v>
      </c>
      <c r="E255" s="18">
        <v>27</v>
      </c>
      <c r="F255" s="18">
        <v>25</v>
      </c>
      <c r="G255" s="18">
        <v>21</v>
      </c>
      <c r="H255" s="18">
        <v>31</v>
      </c>
      <c r="I255" s="18"/>
      <c r="J255" s="18">
        <v>27</v>
      </c>
      <c r="K255" s="18">
        <v>32</v>
      </c>
      <c r="L255" s="18">
        <v>28</v>
      </c>
      <c r="M255" s="18">
        <v>29</v>
      </c>
      <c r="O255" s="42">
        <f t="shared" si="154"/>
        <v>104</v>
      </c>
      <c r="P255" s="42">
        <f t="shared" si="155"/>
        <v>116</v>
      </c>
      <c r="Q255" s="42" t="str">
        <f t="shared" si="156"/>
        <v>TT</v>
      </c>
      <c r="R255" s="42" t="str">
        <f t="shared" si="157"/>
        <v>HL</v>
      </c>
      <c r="S255" s="42" t="str">
        <f t="shared" si="158"/>
        <v>HL</v>
      </c>
      <c r="T255" s="42" t="str">
        <f t="shared" si="159"/>
        <v>HW</v>
      </c>
      <c r="U255" s="42" t="str">
        <f t="shared" si="160"/>
        <v>O</v>
      </c>
      <c r="V255" s="42" t="str">
        <f t="shared" si="161"/>
        <v>O</v>
      </c>
      <c r="W255" s="42" t="str">
        <f t="shared" si="162"/>
        <v>U</v>
      </c>
      <c r="X255" s="42" t="str">
        <f t="shared" si="163"/>
        <v>O</v>
      </c>
      <c r="Z255">
        <v>53.5</v>
      </c>
      <c r="AA255" t="str">
        <f t="shared" si="153"/>
        <v>CLE/ORL</v>
      </c>
    </row>
    <row r="256" spans="1:27" ht="17.100000000000001" x14ac:dyDescent="0.45">
      <c r="A256" s="12">
        <v>191128</v>
      </c>
      <c r="B256" s="1">
        <v>0.375</v>
      </c>
      <c r="C256" s="13" t="s">
        <v>35</v>
      </c>
      <c r="D256" s="5" t="s">
        <v>273</v>
      </c>
      <c r="E256" s="21">
        <v>21</v>
      </c>
      <c r="F256" s="21">
        <v>32</v>
      </c>
      <c r="G256" s="21">
        <v>36</v>
      </c>
      <c r="H256" s="21">
        <v>32</v>
      </c>
      <c r="I256" s="21"/>
      <c r="J256" s="21">
        <v>20</v>
      </c>
      <c r="K256" s="21">
        <v>23</v>
      </c>
      <c r="L256" s="21">
        <v>37</v>
      </c>
      <c r="M256" s="21">
        <v>22</v>
      </c>
      <c r="O256" s="42">
        <f t="shared" si="154"/>
        <v>121</v>
      </c>
      <c r="P256" s="42">
        <f t="shared" si="155"/>
        <v>102</v>
      </c>
      <c r="Q256" s="42" t="str">
        <f t="shared" si="156"/>
        <v>HW</v>
      </c>
      <c r="R256" s="42" t="str">
        <f t="shared" si="157"/>
        <v>HW</v>
      </c>
      <c r="S256" s="42" t="str">
        <f t="shared" si="158"/>
        <v>HL</v>
      </c>
      <c r="T256" s="42" t="str">
        <f t="shared" si="159"/>
        <v>HW</v>
      </c>
      <c r="U256" s="42" t="str">
        <f t="shared" si="160"/>
        <v>U</v>
      </c>
      <c r="V256" s="42" t="str">
        <f t="shared" si="161"/>
        <v>O</v>
      </c>
      <c r="W256" s="42" t="str">
        <f t="shared" si="162"/>
        <v>O</v>
      </c>
      <c r="X256" s="42" t="str">
        <f t="shared" si="163"/>
        <v>O</v>
      </c>
      <c r="Z256">
        <v>51</v>
      </c>
      <c r="AA256" t="str">
        <f t="shared" si="153"/>
        <v>IND/UTA</v>
      </c>
    </row>
    <row r="257" spans="1:27" ht="17.100000000000001" x14ac:dyDescent="0.45">
      <c r="A257" s="12">
        <v>191128</v>
      </c>
      <c r="B257" s="1">
        <v>0.375</v>
      </c>
      <c r="C257" s="13" t="s">
        <v>265</v>
      </c>
      <c r="D257" s="13" t="s">
        <v>262</v>
      </c>
      <c r="E257" s="25">
        <v>25</v>
      </c>
      <c r="F257" s="25">
        <v>22</v>
      </c>
      <c r="G257" s="25">
        <v>29</v>
      </c>
      <c r="H257" s="25">
        <v>21</v>
      </c>
      <c r="I257" s="25"/>
      <c r="J257" s="25">
        <v>18</v>
      </c>
      <c r="K257" s="25">
        <v>28</v>
      </c>
      <c r="L257" s="25">
        <v>19</v>
      </c>
      <c r="M257" s="25">
        <v>26</v>
      </c>
      <c r="O257" s="42">
        <f t="shared" si="154"/>
        <v>97</v>
      </c>
      <c r="P257" s="42">
        <f t="shared" si="155"/>
        <v>91</v>
      </c>
      <c r="Q257" s="42" t="str">
        <f t="shared" si="156"/>
        <v>HW</v>
      </c>
      <c r="R257" s="42" t="str">
        <f t="shared" si="157"/>
        <v>HL</v>
      </c>
      <c r="S257" s="42" t="str">
        <f t="shared" si="158"/>
        <v>HW</v>
      </c>
      <c r="T257" s="42" t="str">
        <f t="shared" si="159"/>
        <v>HL</v>
      </c>
      <c r="U257" s="42" t="str">
        <f t="shared" si="160"/>
        <v>U</v>
      </c>
      <c r="V257" s="42" t="str">
        <f t="shared" si="161"/>
        <v>U</v>
      </c>
      <c r="W257" s="42" t="str">
        <f t="shared" si="162"/>
        <v>U</v>
      </c>
      <c r="X257" s="42" t="str">
        <f t="shared" si="163"/>
        <v>U</v>
      </c>
      <c r="Z257">
        <v>54</v>
      </c>
      <c r="AA257" t="str">
        <f t="shared" si="153"/>
        <v>PHI/SAC</v>
      </c>
    </row>
    <row r="258" spans="1:27" ht="17.100000000000001" x14ac:dyDescent="0.45">
      <c r="A258" s="12">
        <v>191128</v>
      </c>
      <c r="B258" s="1">
        <v>0.375</v>
      </c>
      <c r="C258" s="11" t="s">
        <v>260</v>
      </c>
      <c r="D258" s="11" t="s">
        <v>257</v>
      </c>
      <c r="E258" s="17">
        <v>31</v>
      </c>
      <c r="F258" s="17">
        <v>24</v>
      </c>
      <c r="G258" s="17">
        <v>31</v>
      </c>
      <c r="H258" s="17">
        <v>16</v>
      </c>
      <c r="I258" s="17"/>
      <c r="J258" s="17">
        <v>32</v>
      </c>
      <c r="K258" s="17">
        <v>28</v>
      </c>
      <c r="L258" s="17">
        <v>20</v>
      </c>
      <c r="M258" s="17">
        <v>21</v>
      </c>
      <c r="O258" s="42">
        <f t="shared" si="154"/>
        <v>102</v>
      </c>
      <c r="P258" s="42">
        <f t="shared" si="155"/>
        <v>101</v>
      </c>
      <c r="Q258" s="42" t="str">
        <f t="shared" si="156"/>
        <v>HL</v>
      </c>
      <c r="R258" s="42" t="str">
        <f t="shared" si="157"/>
        <v>HL</v>
      </c>
      <c r="S258" s="42" t="str">
        <f t="shared" si="158"/>
        <v>HW</v>
      </c>
      <c r="T258" s="42" t="str">
        <f t="shared" si="159"/>
        <v>HL</v>
      </c>
      <c r="U258" s="42" t="str">
        <f t="shared" si="160"/>
        <v>O</v>
      </c>
      <c r="V258" s="42" t="str">
        <f t="shared" si="161"/>
        <v>U</v>
      </c>
      <c r="W258" s="42" t="str">
        <f t="shared" si="162"/>
        <v>U</v>
      </c>
      <c r="X258" s="42" t="str">
        <f t="shared" si="163"/>
        <v>U</v>
      </c>
      <c r="Z258">
        <v>56</v>
      </c>
      <c r="AA258" t="str">
        <f t="shared" si="153"/>
        <v>CHA/DET</v>
      </c>
    </row>
    <row r="259" spans="1:27" ht="17.100000000000001" x14ac:dyDescent="0.45">
      <c r="A259" s="12">
        <v>191128</v>
      </c>
      <c r="B259" s="1">
        <v>0.39583333333333331</v>
      </c>
      <c r="C259" t="s">
        <v>281</v>
      </c>
      <c r="D259" s="5" t="s">
        <v>282</v>
      </c>
      <c r="E259" s="29">
        <v>21</v>
      </c>
      <c r="F259" s="29">
        <v>37</v>
      </c>
      <c r="G259" s="29">
        <v>31</v>
      </c>
      <c r="H259" s="29">
        <v>37</v>
      </c>
      <c r="I259" s="29"/>
      <c r="J259" s="29">
        <v>29</v>
      </c>
      <c r="K259" s="29">
        <v>17</v>
      </c>
      <c r="L259" s="29">
        <v>23</v>
      </c>
      <c r="M259" s="29">
        <v>29</v>
      </c>
      <c r="O259" s="42">
        <f t="shared" si="154"/>
        <v>126</v>
      </c>
      <c r="P259" s="42">
        <f t="shared" si="155"/>
        <v>98</v>
      </c>
      <c r="Q259" s="42" t="str">
        <f t="shared" si="156"/>
        <v>HL</v>
      </c>
      <c r="R259" s="42" t="str">
        <f t="shared" si="157"/>
        <v>HW</v>
      </c>
      <c r="S259" s="42" t="str">
        <f t="shared" si="158"/>
        <v>HW</v>
      </c>
      <c r="T259" s="42" t="str">
        <f t="shared" si="159"/>
        <v>HW</v>
      </c>
      <c r="U259" s="42" t="str">
        <f t="shared" si="160"/>
        <v>U</v>
      </c>
      <c r="V259" s="42" t="str">
        <f t="shared" si="161"/>
        <v>U</v>
      </c>
      <c r="W259" s="42" t="str">
        <f t="shared" si="162"/>
        <v>U</v>
      </c>
      <c r="X259" s="42" t="str">
        <f t="shared" si="163"/>
        <v>O</v>
      </c>
      <c r="Z259">
        <v>55</v>
      </c>
      <c r="AA259" t="str">
        <f t="shared" si="153"/>
        <v>TOR/NYK</v>
      </c>
    </row>
    <row r="260" spans="1:27" ht="17.100000000000001" x14ac:dyDescent="0.45">
      <c r="A260" s="12">
        <v>191128</v>
      </c>
      <c r="B260" s="1">
        <v>0.41666666666666669</v>
      </c>
      <c r="C260" s="14" t="s">
        <v>276</v>
      </c>
      <c r="D260" s="14" t="s">
        <v>264</v>
      </c>
      <c r="E260" s="20">
        <v>27</v>
      </c>
      <c r="F260" s="20">
        <v>39</v>
      </c>
      <c r="G260" s="20">
        <v>25</v>
      </c>
      <c r="H260" s="20">
        <v>26</v>
      </c>
      <c r="I260" s="20"/>
      <c r="J260" s="20">
        <v>23</v>
      </c>
      <c r="K260" s="20">
        <v>19</v>
      </c>
      <c r="L260" s="20">
        <v>26</v>
      </c>
      <c r="M260" s="20">
        <v>40</v>
      </c>
      <c r="O260" s="42">
        <f t="shared" si="154"/>
        <v>117</v>
      </c>
      <c r="P260" s="42">
        <f t="shared" si="155"/>
        <v>108</v>
      </c>
      <c r="Q260" s="42" t="str">
        <f t="shared" si="156"/>
        <v>HW</v>
      </c>
      <c r="R260" s="42" t="str">
        <f t="shared" si="157"/>
        <v>HW</v>
      </c>
      <c r="S260" s="42" t="str">
        <f t="shared" si="158"/>
        <v>HL</v>
      </c>
      <c r="T260" s="42" t="str">
        <f t="shared" si="159"/>
        <v>HL</v>
      </c>
      <c r="U260" s="42" t="str">
        <f t="shared" si="160"/>
        <v>U</v>
      </c>
      <c r="V260" s="42" t="str">
        <f t="shared" si="161"/>
        <v>U</v>
      </c>
      <c r="W260" s="42" t="str">
        <f t="shared" si="162"/>
        <v>U</v>
      </c>
      <c r="X260" s="42" t="str">
        <f t="shared" si="163"/>
        <v>O</v>
      </c>
      <c r="Z260">
        <v>58.5</v>
      </c>
      <c r="AA260" t="str">
        <f t="shared" si="153"/>
        <v>HOU/MIA</v>
      </c>
    </row>
    <row r="261" spans="1:27" ht="17.100000000000001" x14ac:dyDescent="0.45">
      <c r="A261" s="12">
        <v>191128</v>
      </c>
      <c r="B261" s="1">
        <v>0.41666666666666669</v>
      </c>
      <c r="C261" t="s">
        <v>285</v>
      </c>
      <c r="D261" s="5" t="s">
        <v>258</v>
      </c>
      <c r="E261" s="23">
        <v>33</v>
      </c>
      <c r="F261" s="23">
        <v>27</v>
      </c>
      <c r="G261" s="23">
        <v>21</v>
      </c>
      <c r="H261" s="23">
        <v>30</v>
      </c>
      <c r="I261" s="23"/>
      <c r="J261" s="23">
        <v>17</v>
      </c>
      <c r="K261" s="23">
        <v>42</v>
      </c>
      <c r="L261" s="23">
        <v>23</v>
      </c>
      <c r="M261" s="23">
        <v>20</v>
      </c>
      <c r="O261" s="42">
        <f t="shared" si="154"/>
        <v>111</v>
      </c>
      <c r="P261" s="42">
        <f t="shared" si="155"/>
        <v>102</v>
      </c>
      <c r="Q261" s="42" t="str">
        <f t="shared" si="156"/>
        <v>HW</v>
      </c>
      <c r="R261" s="42" t="str">
        <f t="shared" si="157"/>
        <v>HL</v>
      </c>
      <c r="S261" s="42" t="str">
        <f t="shared" si="158"/>
        <v>HL</v>
      </c>
      <c r="T261" s="42" t="str">
        <f t="shared" si="159"/>
        <v>HW</v>
      </c>
      <c r="U261" s="42" t="str">
        <f t="shared" si="160"/>
        <v>U</v>
      </c>
      <c r="V261" s="42" t="str">
        <f t="shared" si="161"/>
        <v>O</v>
      </c>
      <c r="W261" s="42" t="str">
        <f t="shared" si="162"/>
        <v>U</v>
      </c>
      <c r="X261" s="42" t="str">
        <f t="shared" si="163"/>
        <v>U</v>
      </c>
      <c r="Z261">
        <v>61.5</v>
      </c>
      <c r="AA261" t="str">
        <f t="shared" si="153"/>
        <v>MIL/ATL</v>
      </c>
    </row>
    <row r="262" spans="1:27" ht="17.100000000000001" x14ac:dyDescent="0.45">
      <c r="A262" s="12">
        <v>191128</v>
      </c>
      <c r="B262" s="1">
        <v>0.41666666666666669</v>
      </c>
      <c r="C262" t="s">
        <v>284</v>
      </c>
      <c r="D262" s="5" t="s">
        <v>275</v>
      </c>
      <c r="E262" s="22">
        <v>31</v>
      </c>
      <c r="F262" s="22">
        <v>29</v>
      </c>
      <c r="G262" s="22">
        <v>28</v>
      </c>
      <c r="H262" s="22">
        <v>31</v>
      </c>
      <c r="I262" s="22"/>
      <c r="J262" s="22">
        <v>35</v>
      </c>
      <c r="K262" s="22">
        <v>29</v>
      </c>
      <c r="L262" s="22">
        <v>28</v>
      </c>
      <c r="M262" s="22">
        <v>29</v>
      </c>
      <c r="O262" s="42">
        <f t="shared" si="154"/>
        <v>119</v>
      </c>
      <c r="P262" s="42">
        <f t="shared" si="155"/>
        <v>121</v>
      </c>
      <c r="Q262" s="42" t="str">
        <f t="shared" si="156"/>
        <v>HL</v>
      </c>
      <c r="R262" s="42" t="str">
        <f t="shared" si="157"/>
        <v>TT</v>
      </c>
      <c r="S262" s="42" t="str">
        <f t="shared" si="158"/>
        <v>TT</v>
      </c>
      <c r="T262" s="42" t="str">
        <f t="shared" si="159"/>
        <v>HW</v>
      </c>
      <c r="U262" s="42" t="str">
        <f t="shared" si="160"/>
        <v>O</v>
      </c>
      <c r="V262" s="42" t="str">
        <f t="shared" si="161"/>
        <v>T</v>
      </c>
      <c r="W262" s="42" t="str">
        <f t="shared" si="162"/>
        <v>U</v>
      </c>
      <c r="X262" s="42" t="str">
        <f t="shared" si="163"/>
        <v>O</v>
      </c>
      <c r="Z262">
        <v>58</v>
      </c>
      <c r="AA262" t="str">
        <f t="shared" si="153"/>
        <v>MEM/LAC</v>
      </c>
    </row>
    <row r="263" spans="1:27" ht="17.100000000000001" x14ac:dyDescent="0.45">
      <c r="A263" s="12">
        <v>191128</v>
      </c>
      <c r="B263" s="1">
        <v>0.4375</v>
      </c>
      <c r="C263" t="s">
        <v>266</v>
      </c>
      <c r="D263" s="5" t="s">
        <v>277</v>
      </c>
      <c r="E263" s="28">
        <v>24</v>
      </c>
      <c r="F263" s="28">
        <v>23</v>
      </c>
      <c r="G263" s="28">
        <v>31</v>
      </c>
      <c r="H263" s="28">
        <v>23</v>
      </c>
      <c r="I263" s="28"/>
      <c r="J263" s="28">
        <v>22</v>
      </c>
      <c r="K263" s="28">
        <v>35</v>
      </c>
      <c r="L263" s="28">
        <v>24</v>
      </c>
      <c r="M263" s="28">
        <v>32</v>
      </c>
      <c r="O263" s="42">
        <f t="shared" si="154"/>
        <v>101</v>
      </c>
      <c r="P263" s="42">
        <f t="shared" si="155"/>
        <v>113</v>
      </c>
      <c r="Q263" s="42" t="str">
        <f t="shared" si="156"/>
        <v>HW</v>
      </c>
      <c r="R263" s="42" t="str">
        <f t="shared" si="157"/>
        <v>HL</v>
      </c>
      <c r="S263" s="42" t="str">
        <f t="shared" si="158"/>
        <v>HW</v>
      </c>
      <c r="T263" s="42" t="str">
        <f t="shared" si="159"/>
        <v>HL</v>
      </c>
      <c r="U263" s="42" t="str">
        <f t="shared" si="160"/>
        <v>U</v>
      </c>
      <c r="V263" s="42" t="str">
        <f t="shared" si="161"/>
        <v>U</v>
      </c>
      <c r="W263" s="42" t="str">
        <f t="shared" si="162"/>
        <v>U</v>
      </c>
      <c r="X263" s="42" t="str">
        <f t="shared" si="163"/>
        <v>U</v>
      </c>
      <c r="Z263">
        <v>59</v>
      </c>
      <c r="AA263" t="str">
        <f t="shared" si="153"/>
        <v>SAS/MIN</v>
      </c>
    </row>
    <row r="264" spans="1:27" ht="17.100000000000001" x14ac:dyDescent="0.45">
      <c r="A264" s="12">
        <v>191128</v>
      </c>
      <c r="B264" s="1">
        <v>0.45833333333333331</v>
      </c>
      <c r="C264" t="s">
        <v>278</v>
      </c>
      <c r="D264" s="5" t="s">
        <v>259</v>
      </c>
      <c r="E264" s="26">
        <v>34</v>
      </c>
      <c r="F264" s="26">
        <v>35</v>
      </c>
      <c r="G264" s="26">
        <v>26</v>
      </c>
      <c r="H264" s="26">
        <v>37</v>
      </c>
      <c r="I264" s="26"/>
      <c r="J264" s="26">
        <v>36</v>
      </c>
      <c r="K264" s="26">
        <v>38</v>
      </c>
      <c r="L264" s="26">
        <v>34</v>
      </c>
      <c r="M264" s="26">
        <v>32</v>
      </c>
      <c r="O264" s="42">
        <f t="shared" si="154"/>
        <v>132</v>
      </c>
      <c r="P264" s="42">
        <f t="shared" si="155"/>
        <v>140</v>
      </c>
      <c r="Q264" s="42" t="str">
        <f t="shared" si="156"/>
        <v>HL</v>
      </c>
      <c r="R264" s="42" t="str">
        <f t="shared" si="157"/>
        <v>HL</v>
      </c>
      <c r="S264" s="42" t="str">
        <f t="shared" si="158"/>
        <v>HL</v>
      </c>
      <c r="T264" s="42" t="str">
        <f t="shared" si="159"/>
        <v>HW</v>
      </c>
      <c r="U264" s="42" t="str">
        <f t="shared" si="160"/>
        <v>O</v>
      </c>
      <c r="V264" s="42" t="str">
        <f t="shared" si="161"/>
        <v>O</v>
      </c>
      <c r="W264" s="42" t="str">
        <f t="shared" si="162"/>
        <v>U</v>
      </c>
      <c r="X264" s="42" t="str">
        <f t="shared" si="163"/>
        <v>O</v>
      </c>
      <c r="Z264">
        <v>62</v>
      </c>
      <c r="AA264" t="str">
        <f t="shared" si="153"/>
        <v>PHO/WAS</v>
      </c>
    </row>
    <row r="265" spans="1:27" ht="17.100000000000001" x14ac:dyDescent="0.45">
      <c r="A265" s="12">
        <v>191128</v>
      </c>
      <c r="B265" s="1">
        <v>0.47916666666666669</v>
      </c>
      <c r="C265" s="15" t="s">
        <v>286</v>
      </c>
      <c r="D265" s="15" t="s">
        <v>268</v>
      </c>
      <c r="E265" s="24">
        <v>38</v>
      </c>
      <c r="F265" s="24">
        <v>26</v>
      </c>
      <c r="G265" s="24">
        <v>25</v>
      </c>
      <c r="H265" s="24">
        <v>21</v>
      </c>
      <c r="I265" s="24"/>
      <c r="J265" s="24">
        <v>25</v>
      </c>
      <c r="K265" s="24">
        <v>29</v>
      </c>
      <c r="L265" s="24">
        <v>25</v>
      </c>
      <c r="M265" s="24">
        <v>35</v>
      </c>
      <c r="O265" s="42">
        <f t="shared" si="154"/>
        <v>110</v>
      </c>
      <c r="P265" s="42">
        <f t="shared" si="155"/>
        <v>114</v>
      </c>
      <c r="Q265" s="42" t="str">
        <f t="shared" si="156"/>
        <v>HW</v>
      </c>
      <c r="R265" s="42" t="str">
        <f t="shared" si="157"/>
        <v>HL</v>
      </c>
      <c r="S265" s="42" t="str">
        <f t="shared" si="158"/>
        <v>TT</v>
      </c>
      <c r="T265" s="42" t="str">
        <f t="shared" si="159"/>
        <v>HL</v>
      </c>
      <c r="U265" s="42" t="str">
        <f t="shared" si="160"/>
        <v>O</v>
      </c>
      <c r="V265" s="42" t="str">
        <f t="shared" si="161"/>
        <v>U</v>
      </c>
      <c r="W265" s="42" t="str">
        <f t="shared" si="162"/>
        <v>U</v>
      </c>
      <c r="X265" s="42" t="str">
        <f t="shared" si="163"/>
        <v>U</v>
      </c>
      <c r="Z265">
        <v>59.5</v>
      </c>
      <c r="AA265" t="str">
        <f t="shared" si="153"/>
        <v>NO/LAL</v>
      </c>
    </row>
    <row r="266" spans="1:27" ht="17.100000000000001" x14ac:dyDescent="0.45">
      <c r="A266" s="12">
        <v>191128</v>
      </c>
      <c r="B266" s="1">
        <v>0.5</v>
      </c>
      <c r="C266" t="s">
        <v>283</v>
      </c>
      <c r="D266" s="5" t="s">
        <v>267</v>
      </c>
      <c r="E266" s="27">
        <v>42</v>
      </c>
      <c r="F266" s="27">
        <v>21</v>
      </c>
      <c r="G266" s="27">
        <v>41</v>
      </c>
      <c r="H266" s="27">
        <v>32</v>
      </c>
      <c r="I266" s="27"/>
      <c r="J266" s="27">
        <v>26</v>
      </c>
      <c r="K266" s="27">
        <v>24</v>
      </c>
      <c r="L266" s="27">
        <v>27</v>
      </c>
      <c r="M266" s="27">
        <v>42</v>
      </c>
      <c r="O266" s="42">
        <f t="shared" si="154"/>
        <v>136</v>
      </c>
      <c r="P266" s="42">
        <f t="shared" si="155"/>
        <v>119</v>
      </c>
      <c r="Q266" s="42" t="str">
        <f t="shared" si="156"/>
        <v>HW</v>
      </c>
      <c r="R266" s="42" t="str">
        <f t="shared" si="157"/>
        <v>HL</v>
      </c>
      <c r="S266" s="42" t="str">
        <f t="shared" si="158"/>
        <v>HW</v>
      </c>
      <c r="T266" s="42" t="str">
        <f t="shared" si="159"/>
        <v>HL</v>
      </c>
      <c r="U266" s="42" t="str">
        <f t="shared" si="160"/>
        <v>O</v>
      </c>
      <c r="V266" s="42" t="str">
        <f t="shared" si="161"/>
        <v>U</v>
      </c>
      <c r="W266" s="42" t="str">
        <f t="shared" si="162"/>
        <v>O</v>
      </c>
      <c r="X266" s="42" t="str">
        <f t="shared" si="163"/>
        <v>O</v>
      </c>
      <c r="Z266">
        <v>56</v>
      </c>
      <c r="AA266" t="str">
        <f t="shared" si="153"/>
        <v>POR/OKC</v>
      </c>
    </row>
    <row r="267" spans="1:27" ht="17.100000000000001" x14ac:dyDescent="0.45">
      <c r="A267" s="12">
        <v>191128</v>
      </c>
      <c r="B267" s="1">
        <v>0.52083333333333337</v>
      </c>
      <c r="C267" t="s">
        <v>274</v>
      </c>
      <c r="D267" s="5" t="s">
        <v>263</v>
      </c>
      <c r="E267" s="19">
        <v>25</v>
      </c>
      <c r="F267" s="19">
        <v>28</v>
      </c>
      <c r="G267" s="19">
        <v>25</v>
      </c>
      <c r="H267" s="19">
        <v>26</v>
      </c>
      <c r="I267" s="19"/>
      <c r="J267" s="19">
        <v>17</v>
      </c>
      <c r="K267" s="19">
        <v>31</v>
      </c>
      <c r="L267" s="19">
        <v>25</v>
      </c>
      <c r="M267" s="19">
        <v>17</v>
      </c>
      <c r="O267" s="42">
        <f t="shared" si="154"/>
        <v>104</v>
      </c>
      <c r="P267" s="42">
        <f t="shared" si="155"/>
        <v>90</v>
      </c>
      <c r="Q267" s="42" t="str">
        <f t="shared" si="156"/>
        <v>HW</v>
      </c>
      <c r="R267" s="42" t="str">
        <f t="shared" si="157"/>
        <v>HL</v>
      </c>
      <c r="S267" s="42" t="str">
        <f t="shared" si="158"/>
        <v>TT</v>
      </c>
      <c r="T267" s="42" t="str">
        <f t="shared" si="159"/>
        <v>HW</v>
      </c>
      <c r="U267" s="42" t="str">
        <f t="shared" si="160"/>
        <v>U</v>
      </c>
      <c r="V267" s="42" t="str">
        <f t="shared" si="161"/>
        <v>O</v>
      </c>
      <c r="W267" s="42" t="str">
        <f t="shared" si="162"/>
        <v>U</v>
      </c>
      <c r="X267" s="42" t="str">
        <f t="shared" si="163"/>
        <v>U</v>
      </c>
      <c r="Z267">
        <v>54</v>
      </c>
      <c r="AA267" t="str">
        <f t="shared" si="153"/>
        <v>GS/CHI</v>
      </c>
    </row>
    <row r="268" spans="1:27" ht="17.100000000000001" x14ac:dyDescent="0.45">
      <c r="A268" s="12">
        <v>191130</v>
      </c>
      <c r="B268" s="1">
        <v>8.3333333333333329E-2</v>
      </c>
      <c r="C268" t="s">
        <v>287</v>
      </c>
      <c r="D268" s="5" t="s">
        <v>288</v>
      </c>
      <c r="E268" s="30">
        <v>31</v>
      </c>
      <c r="F268" s="30">
        <v>27</v>
      </c>
      <c r="G268" s="30">
        <v>29</v>
      </c>
      <c r="H268" s="30">
        <v>25</v>
      </c>
      <c r="I268" s="30"/>
      <c r="J268" s="30">
        <v>24</v>
      </c>
      <c r="K268" s="30">
        <v>31</v>
      </c>
      <c r="L268" s="30">
        <v>26</v>
      </c>
      <c r="M268" s="30">
        <v>26</v>
      </c>
      <c r="O268" s="42">
        <f t="shared" si="154"/>
        <v>112</v>
      </c>
      <c r="P268" s="42">
        <f t="shared" si="155"/>
        <v>107</v>
      </c>
      <c r="Q268" s="42" t="str">
        <f t="shared" si="156"/>
        <v>HW</v>
      </c>
      <c r="R268" s="42" t="str">
        <f t="shared" si="157"/>
        <v>HL</v>
      </c>
      <c r="S268" s="42" t="str">
        <f t="shared" si="158"/>
        <v>HW</v>
      </c>
      <c r="T268" s="42" t="str">
        <f t="shared" si="159"/>
        <v>HL</v>
      </c>
      <c r="U268" s="42" t="str">
        <f t="shared" si="160"/>
        <v>O</v>
      </c>
      <c r="V268" s="42" t="str">
        <f t="shared" si="161"/>
        <v>O</v>
      </c>
      <c r="W268" s="42" t="str">
        <f t="shared" si="162"/>
        <v>O</v>
      </c>
      <c r="X268" s="42" t="str">
        <f t="shared" si="163"/>
        <v>U</v>
      </c>
      <c r="Z268">
        <v>52.5</v>
      </c>
      <c r="AA268" t="str">
        <f t="shared" si="153"/>
        <v>BKN/BOS</v>
      </c>
    </row>
    <row r="269" spans="1:27" ht="17.100000000000001" x14ac:dyDescent="0.45">
      <c r="A269" s="12">
        <v>191130</v>
      </c>
      <c r="B269" s="1">
        <v>0.375</v>
      </c>
      <c r="C269" t="s">
        <v>289</v>
      </c>
      <c r="D269" s="5" t="s">
        <v>290</v>
      </c>
      <c r="E269" s="32">
        <v>37</v>
      </c>
      <c r="F269" s="32">
        <v>20</v>
      </c>
      <c r="G269" s="32">
        <v>28</v>
      </c>
      <c r="H269" s="32">
        <v>22</v>
      </c>
      <c r="I269" s="32"/>
      <c r="J269" s="32">
        <v>38</v>
      </c>
      <c r="K269" s="32">
        <v>24</v>
      </c>
      <c r="L269" s="32">
        <v>23</v>
      </c>
      <c r="M269" s="32">
        <v>25</v>
      </c>
      <c r="O269" s="42">
        <f t="shared" si="154"/>
        <v>107</v>
      </c>
      <c r="P269" s="42">
        <f t="shared" si="155"/>
        <v>110</v>
      </c>
      <c r="Q269" s="42" t="str">
        <f t="shared" si="156"/>
        <v>HL</v>
      </c>
      <c r="R269" s="42" t="str">
        <f t="shared" si="157"/>
        <v>HL</v>
      </c>
      <c r="S269" s="42" t="str">
        <f t="shared" si="158"/>
        <v>HW</v>
      </c>
      <c r="T269" s="42" t="str">
        <f t="shared" si="159"/>
        <v>HL</v>
      </c>
      <c r="U269" s="42" t="str">
        <f t="shared" si="160"/>
        <v>O</v>
      </c>
      <c r="V269" s="42" t="str">
        <f t="shared" si="161"/>
        <v>U</v>
      </c>
      <c r="W269" s="42" t="str">
        <f t="shared" si="162"/>
        <v>U</v>
      </c>
      <c r="X269" s="42" t="str">
        <f t="shared" si="163"/>
        <v>U</v>
      </c>
      <c r="Z269">
        <v>55.5</v>
      </c>
      <c r="AA269" t="str">
        <f t="shared" si="153"/>
        <v>DET/CHA</v>
      </c>
    </row>
    <row r="270" spans="1:27" ht="17.100000000000001" x14ac:dyDescent="0.45">
      <c r="A270" s="12">
        <v>191130</v>
      </c>
      <c r="B270" s="1">
        <v>0.375</v>
      </c>
      <c r="C270" t="s">
        <v>291</v>
      </c>
      <c r="D270" s="5" t="s">
        <v>292</v>
      </c>
      <c r="E270" s="39">
        <v>23</v>
      </c>
      <c r="F270" s="39">
        <v>24</v>
      </c>
      <c r="G270" s="39">
        <v>12</v>
      </c>
      <c r="H270" s="39">
        <v>24</v>
      </c>
      <c r="I270" s="39"/>
      <c r="J270" s="39">
        <v>20</v>
      </c>
      <c r="K270" s="39">
        <v>20</v>
      </c>
      <c r="L270" s="39">
        <v>26</v>
      </c>
      <c r="M270" s="39">
        <v>24</v>
      </c>
      <c r="O270" s="42">
        <f t="shared" si="154"/>
        <v>83</v>
      </c>
      <c r="P270" s="42">
        <f t="shared" si="155"/>
        <v>90</v>
      </c>
      <c r="Q270" s="42" t="str">
        <f t="shared" si="156"/>
        <v>HW</v>
      </c>
      <c r="R270" s="42" t="str">
        <f t="shared" si="157"/>
        <v>HW</v>
      </c>
      <c r="S270" s="42" t="str">
        <f t="shared" si="158"/>
        <v>HL</v>
      </c>
      <c r="T270" s="42" t="str">
        <f t="shared" si="159"/>
        <v>TT</v>
      </c>
      <c r="U270" s="42" t="str">
        <f t="shared" si="160"/>
        <v>U</v>
      </c>
      <c r="V270" s="42" t="str">
        <f t="shared" si="161"/>
        <v>U</v>
      </c>
      <c r="W270" s="42" t="str">
        <f t="shared" si="162"/>
        <v>U</v>
      </c>
      <c r="X270" s="42" t="str">
        <f t="shared" si="163"/>
        <v>U</v>
      </c>
      <c r="Z270">
        <v>54.5</v>
      </c>
      <c r="AA270" t="str">
        <f t="shared" si="153"/>
        <v>ORL/TOR</v>
      </c>
    </row>
    <row r="271" spans="1:27" ht="17.100000000000001" x14ac:dyDescent="0.45">
      <c r="A271" s="12">
        <v>191130</v>
      </c>
      <c r="B271" s="1">
        <v>0.39583333333333331</v>
      </c>
      <c r="C271" t="s">
        <v>293</v>
      </c>
      <c r="D271" s="5" t="s">
        <v>294</v>
      </c>
      <c r="E271" s="31">
        <v>29</v>
      </c>
      <c r="F271" s="31">
        <v>18</v>
      </c>
      <c r="G271" s="31">
        <v>42</v>
      </c>
      <c r="H271" s="31">
        <v>21</v>
      </c>
      <c r="I271" s="31"/>
      <c r="J271" s="31">
        <v>38</v>
      </c>
      <c r="K271" s="31">
        <v>29</v>
      </c>
      <c r="L271" s="31">
        <v>32</v>
      </c>
      <c r="M271" s="31">
        <v>20</v>
      </c>
      <c r="O271" s="42">
        <f t="shared" si="154"/>
        <v>110</v>
      </c>
      <c r="P271" s="42">
        <f t="shared" si="155"/>
        <v>119</v>
      </c>
      <c r="Q271" s="42" t="str">
        <f t="shared" si="156"/>
        <v>HL</v>
      </c>
      <c r="R271" s="42" t="str">
        <f t="shared" si="157"/>
        <v>HL</v>
      </c>
      <c r="S271" s="42" t="str">
        <f t="shared" si="158"/>
        <v>HW</v>
      </c>
      <c r="T271" s="42" t="str">
        <f t="shared" si="159"/>
        <v>HW</v>
      </c>
      <c r="U271" s="42" t="str">
        <f t="shared" si="160"/>
        <v>O</v>
      </c>
      <c r="V271" s="42" t="str">
        <f t="shared" si="161"/>
        <v>U</v>
      </c>
      <c r="W271" s="42" t="str">
        <f t="shared" si="162"/>
        <v>O</v>
      </c>
      <c r="X271" s="42" t="str">
        <f t="shared" si="163"/>
        <v>U</v>
      </c>
      <c r="Z271">
        <v>56</v>
      </c>
      <c r="AA271" t="str">
        <f t="shared" si="153"/>
        <v>CLE/MIL</v>
      </c>
    </row>
    <row r="272" spans="1:27" ht="17.100000000000001" x14ac:dyDescent="0.45">
      <c r="A272" s="12">
        <v>191130</v>
      </c>
      <c r="B272" s="1">
        <v>0.39583333333333331</v>
      </c>
      <c r="C272" t="s">
        <v>295</v>
      </c>
      <c r="D272" s="5" t="s">
        <v>296</v>
      </c>
      <c r="E272" s="37">
        <v>31</v>
      </c>
      <c r="F272" s="37">
        <v>20</v>
      </c>
      <c r="G272" s="37">
        <v>17</v>
      </c>
      <c r="H272" s="37">
        <v>27</v>
      </c>
      <c r="I272" s="37"/>
      <c r="J272" s="37">
        <v>18</v>
      </c>
      <c r="K272" s="37">
        <v>21</v>
      </c>
      <c r="L272" s="37">
        <v>31</v>
      </c>
      <c r="M272" s="37">
        <v>31</v>
      </c>
      <c r="O272" s="42">
        <f t="shared" si="154"/>
        <v>95</v>
      </c>
      <c r="P272" s="42">
        <f t="shared" si="155"/>
        <v>101</v>
      </c>
      <c r="Q272" s="42" t="str">
        <f t="shared" si="156"/>
        <v>HW</v>
      </c>
      <c r="R272" s="42" t="str">
        <f t="shared" si="157"/>
        <v>HL</v>
      </c>
      <c r="S272" s="42" t="str">
        <f t="shared" si="158"/>
        <v>HL</v>
      </c>
      <c r="T272" s="42" t="str">
        <f t="shared" si="159"/>
        <v>HL</v>
      </c>
      <c r="U272" s="42" t="str">
        <f t="shared" si="160"/>
        <v>U</v>
      </c>
      <c r="V272" s="42" t="str">
        <f t="shared" si="161"/>
        <v>U</v>
      </c>
      <c r="W272" s="42" t="str">
        <f t="shared" si="162"/>
        <v>U</v>
      </c>
      <c r="X272" s="42" t="str">
        <f t="shared" si="163"/>
        <v>O</v>
      </c>
      <c r="Z272">
        <v>51.5</v>
      </c>
      <c r="AA272" t="str">
        <f t="shared" si="153"/>
        <v>NYK/PHI</v>
      </c>
    </row>
    <row r="273" spans="1:27" ht="17.100000000000001" x14ac:dyDescent="0.45">
      <c r="A273" s="12">
        <v>191130</v>
      </c>
      <c r="B273" s="1">
        <v>0.41666666666666669</v>
      </c>
      <c r="C273" t="s">
        <v>297</v>
      </c>
      <c r="D273" s="5" t="s">
        <v>298</v>
      </c>
      <c r="E273" s="33">
        <v>22</v>
      </c>
      <c r="F273" s="33">
        <v>21</v>
      </c>
      <c r="G273" s="33">
        <v>29</v>
      </c>
      <c r="H273" s="33">
        <v>22</v>
      </c>
      <c r="I273" s="33">
        <v>11</v>
      </c>
      <c r="J273" s="33">
        <v>23</v>
      </c>
      <c r="K273" s="33">
        <v>31</v>
      </c>
      <c r="L273" s="33">
        <v>11</v>
      </c>
      <c r="M273" s="33">
        <v>29</v>
      </c>
      <c r="N273" s="33">
        <v>10</v>
      </c>
      <c r="O273" s="42">
        <f t="shared" si="154"/>
        <v>105</v>
      </c>
      <c r="P273" s="42">
        <f t="shared" si="155"/>
        <v>104</v>
      </c>
      <c r="Q273" s="42" t="str">
        <f t="shared" si="156"/>
        <v>HL</v>
      </c>
      <c r="R273" s="42" t="str">
        <f t="shared" si="157"/>
        <v>HL</v>
      </c>
      <c r="S273" s="42" t="str">
        <f t="shared" si="158"/>
        <v>HW</v>
      </c>
      <c r="T273" s="42" t="str">
        <f t="shared" si="159"/>
        <v>HL</v>
      </c>
      <c r="U273" s="42" t="str">
        <f t="shared" si="160"/>
        <v>U</v>
      </c>
      <c r="V273" s="42" t="str">
        <f t="shared" si="161"/>
        <v>U</v>
      </c>
      <c r="W273" s="42" t="str">
        <f t="shared" si="162"/>
        <v>U</v>
      </c>
      <c r="X273" s="42" t="str">
        <f t="shared" si="163"/>
        <v>U</v>
      </c>
      <c r="Z273">
        <v>58</v>
      </c>
      <c r="AA273" t="str">
        <f t="shared" si="153"/>
        <v>IND/ATL</v>
      </c>
    </row>
    <row r="274" spans="1:27" ht="17.100000000000001" x14ac:dyDescent="0.45">
      <c r="A274" s="12">
        <v>191130</v>
      </c>
      <c r="B274" s="1">
        <v>0.41666666666666669</v>
      </c>
      <c r="C274" t="s">
        <v>299</v>
      </c>
      <c r="D274" s="5" t="s">
        <v>300</v>
      </c>
      <c r="E274" s="36">
        <v>41</v>
      </c>
      <c r="F274" s="36">
        <v>30</v>
      </c>
      <c r="G274" s="36">
        <v>24</v>
      </c>
      <c r="H274" s="36">
        <v>27</v>
      </c>
      <c r="I274" s="36"/>
      <c r="J274" s="36">
        <v>21</v>
      </c>
      <c r="K274" s="36">
        <v>37</v>
      </c>
      <c r="L274" s="36">
        <v>21</v>
      </c>
      <c r="M274" s="36">
        <v>26</v>
      </c>
      <c r="O274" s="42">
        <f t="shared" si="154"/>
        <v>122</v>
      </c>
      <c r="P274" s="42">
        <f t="shared" si="155"/>
        <v>105</v>
      </c>
      <c r="Q274" s="42" t="str">
        <f t="shared" si="156"/>
        <v>HW</v>
      </c>
      <c r="R274" s="42" t="str">
        <f t="shared" si="157"/>
        <v>HL</v>
      </c>
      <c r="S274" s="42" t="str">
        <f t="shared" si="158"/>
        <v>HW</v>
      </c>
      <c r="T274" s="42" t="str">
        <f t="shared" si="159"/>
        <v>HW</v>
      </c>
      <c r="U274" s="42" t="str">
        <f t="shared" si="160"/>
        <v>O</v>
      </c>
      <c r="V274" s="42" t="str">
        <f t="shared" si="161"/>
        <v>O</v>
      </c>
      <c r="W274" s="42" t="str">
        <f t="shared" si="162"/>
        <v>U</v>
      </c>
      <c r="X274" s="42" t="str">
        <f t="shared" si="163"/>
        <v>U</v>
      </c>
      <c r="Z274">
        <v>54.5</v>
      </c>
      <c r="AA274" t="str">
        <f t="shared" si="153"/>
        <v>MIA/GS</v>
      </c>
    </row>
    <row r="275" spans="1:27" ht="17.100000000000001" x14ac:dyDescent="0.45">
      <c r="A275" s="12">
        <v>191130</v>
      </c>
      <c r="B275" s="1">
        <v>0.41666666666666669</v>
      </c>
      <c r="C275" t="s">
        <v>301</v>
      </c>
      <c r="D275" s="5" t="s">
        <v>302</v>
      </c>
      <c r="E275" s="38">
        <v>34</v>
      </c>
      <c r="F275" s="38">
        <v>28</v>
      </c>
      <c r="G275" s="38">
        <v>17</v>
      </c>
      <c r="H275" s="38">
        <v>30</v>
      </c>
      <c r="I275" s="38"/>
      <c r="J275" s="38">
        <v>26</v>
      </c>
      <c r="K275" s="38">
        <v>27</v>
      </c>
      <c r="L275" s="38">
        <v>31</v>
      </c>
      <c r="M275" s="38">
        <v>20</v>
      </c>
      <c r="O275" s="42">
        <f t="shared" si="154"/>
        <v>109</v>
      </c>
      <c r="P275" s="42">
        <f t="shared" si="155"/>
        <v>104</v>
      </c>
      <c r="Q275" s="42" t="str">
        <f t="shared" si="156"/>
        <v>HW</v>
      </c>
      <c r="R275" s="42" t="str">
        <f t="shared" si="157"/>
        <v>HW</v>
      </c>
      <c r="S275" s="42" t="str">
        <f t="shared" si="158"/>
        <v>HL</v>
      </c>
      <c r="T275" s="42" t="str">
        <f t="shared" si="159"/>
        <v>HW</v>
      </c>
      <c r="U275" s="42" t="str">
        <f t="shared" si="160"/>
        <v>O</v>
      </c>
      <c r="V275" s="42" t="str">
        <f t="shared" si="161"/>
        <v>U</v>
      </c>
      <c r="W275" s="42" t="str">
        <f t="shared" si="162"/>
        <v>U</v>
      </c>
      <c r="X275" s="42" t="str">
        <f t="shared" si="163"/>
        <v>U</v>
      </c>
      <c r="Z275">
        <v>59</v>
      </c>
      <c r="AA275" t="str">
        <f t="shared" si="153"/>
        <v>OKC/NO</v>
      </c>
    </row>
    <row r="276" spans="1:27" ht="17.100000000000001" x14ac:dyDescent="0.45">
      <c r="A276" s="12">
        <v>191130</v>
      </c>
      <c r="B276" s="1">
        <v>0.41666666666666669</v>
      </c>
      <c r="C276" t="s">
        <v>303</v>
      </c>
      <c r="D276" s="5" t="s">
        <v>304</v>
      </c>
      <c r="E276" s="35">
        <v>24</v>
      </c>
      <c r="F276" s="35">
        <v>31</v>
      </c>
      <c r="G276" s="35">
        <v>18</v>
      </c>
      <c r="H276" s="35">
        <v>21</v>
      </c>
      <c r="I276" s="35"/>
      <c r="J276" s="35">
        <v>22</v>
      </c>
      <c r="K276" s="35">
        <v>18</v>
      </c>
      <c r="L276" s="35">
        <v>35</v>
      </c>
      <c r="M276" s="35">
        <v>28</v>
      </c>
      <c r="O276" s="42">
        <f t="shared" si="154"/>
        <v>94</v>
      </c>
      <c r="P276" s="42">
        <f t="shared" si="155"/>
        <v>103</v>
      </c>
      <c r="Q276" s="42" t="str">
        <f t="shared" si="156"/>
        <v>HW</v>
      </c>
      <c r="R276" s="42" t="str">
        <f t="shared" si="157"/>
        <v>HW</v>
      </c>
      <c r="S276" s="42" t="str">
        <f t="shared" si="158"/>
        <v>HL</v>
      </c>
      <c r="T276" s="42" t="str">
        <f t="shared" si="159"/>
        <v>HL</v>
      </c>
      <c r="U276" s="42" t="str">
        <f t="shared" si="160"/>
        <v>U</v>
      </c>
      <c r="V276" s="42" t="str">
        <f t="shared" si="161"/>
        <v>U</v>
      </c>
      <c r="W276" s="42" t="str">
        <f t="shared" si="162"/>
        <v>U</v>
      </c>
      <c r="X276" s="42" t="str">
        <f t="shared" si="163"/>
        <v>U</v>
      </c>
      <c r="Z276">
        <v>54</v>
      </c>
      <c r="AA276" t="str">
        <f t="shared" si="153"/>
        <v>MEM/UTA</v>
      </c>
    </row>
    <row r="277" spans="1:27" ht="17.100000000000001" x14ac:dyDescent="0.45">
      <c r="A277" s="12">
        <v>191130</v>
      </c>
      <c r="B277" s="1">
        <v>0.4375</v>
      </c>
      <c r="C277" t="s">
        <v>305</v>
      </c>
      <c r="D277" s="5" t="s">
        <v>306</v>
      </c>
      <c r="E277" s="42">
        <v>27</v>
      </c>
      <c r="F277" s="42">
        <v>26</v>
      </c>
      <c r="G277" s="42">
        <v>29</v>
      </c>
      <c r="H277" s="42">
        <v>25</v>
      </c>
      <c r="I277" s="42"/>
      <c r="J277" s="42">
        <v>30</v>
      </c>
      <c r="K277" s="42">
        <v>23</v>
      </c>
      <c r="L277" s="42">
        <v>18</v>
      </c>
      <c r="M277" s="42">
        <v>26</v>
      </c>
      <c r="O277" s="42">
        <f t="shared" si="154"/>
        <v>107</v>
      </c>
      <c r="P277" s="42">
        <f t="shared" si="155"/>
        <v>97</v>
      </c>
      <c r="Q277" s="42" t="str">
        <f t="shared" si="156"/>
        <v>HL</v>
      </c>
      <c r="R277" s="42" t="str">
        <f t="shared" si="157"/>
        <v>HW</v>
      </c>
      <c r="S277" s="42" t="str">
        <f t="shared" si="158"/>
        <v>HW</v>
      </c>
      <c r="T277" s="42" t="str">
        <f t="shared" si="159"/>
        <v>HL</v>
      </c>
      <c r="U277" s="42" t="str">
        <f t="shared" si="160"/>
        <v>U</v>
      </c>
      <c r="V277" s="42" t="str">
        <f t="shared" si="161"/>
        <v>U</v>
      </c>
      <c r="W277" s="42" t="str">
        <f t="shared" si="162"/>
        <v>U</v>
      </c>
      <c r="X277" s="42" t="str">
        <f t="shared" si="163"/>
        <v>U</v>
      </c>
      <c r="Z277">
        <v>58</v>
      </c>
      <c r="AA277" t="str">
        <f t="shared" si="153"/>
        <v>SAS/LAC</v>
      </c>
    </row>
    <row r="278" spans="1:27" ht="17.100000000000001" x14ac:dyDescent="0.45">
      <c r="A278" s="12">
        <v>191130</v>
      </c>
      <c r="B278" s="1">
        <v>0.45833333333333331</v>
      </c>
      <c r="C278" t="s">
        <v>307</v>
      </c>
      <c r="D278" s="5" t="s">
        <v>308</v>
      </c>
      <c r="E278" s="40">
        <v>25</v>
      </c>
      <c r="F278" s="40">
        <v>25</v>
      </c>
      <c r="G278" s="40">
        <v>39</v>
      </c>
      <c r="H278" s="40">
        <v>24</v>
      </c>
      <c r="I278" s="40"/>
      <c r="J278" s="40">
        <v>31</v>
      </c>
      <c r="K278" s="40">
        <v>22</v>
      </c>
      <c r="L278" s="40">
        <v>36</v>
      </c>
      <c r="M278" s="40">
        <v>31</v>
      </c>
      <c r="O278" s="42">
        <f t="shared" si="154"/>
        <v>113</v>
      </c>
      <c r="P278" s="42">
        <f t="shared" si="155"/>
        <v>120</v>
      </c>
      <c r="Q278" s="42" t="str">
        <f t="shared" si="156"/>
        <v>HL</v>
      </c>
      <c r="R278" s="42" t="str">
        <f t="shared" si="157"/>
        <v>HW</v>
      </c>
      <c r="S278" s="42" t="str">
        <f t="shared" si="158"/>
        <v>HW</v>
      </c>
      <c r="T278" s="42" t="str">
        <f t="shared" si="159"/>
        <v>HL</v>
      </c>
      <c r="U278" s="42" t="str">
        <f t="shared" si="160"/>
        <v>U</v>
      </c>
      <c r="V278" s="42" t="str">
        <f t="shared" si="161"/>
        <v>U</v>
      </c>
      <c r="W278" s="42" t="str">
        <f t="shared" si="162"/>
        <v>O</v>
      </c>
      <c r="X278" s="42" t="str">
        <f t="shared" si="163"/>
        <v>U</v>
      </c>
      <c r="Z278">
        <v>60</v>
      </c>
      <c r="AA278" t="str">
        <f t="shared" si="153"/>
        <v>PHO/DAL</v>
      </c>
    </row>
    <row r="279" spans="1:27" ht="17.100000000000001" x14ac:dyDescent="0.45">
      <c r="A279" s="12">
        <v>191130</v>
      </c>
      <c r="B279" s="1">
        <v>0.5</v>
      </c>
      <c r="C279" t="s">
        <v>309</v>
      </c>
      <c r="D279" s="5" t="s">
        <v>310</v>
      </c>
      <c r="E279" s="41">
        <v>25</v>
      </c>
      <c r="F279" s="41">
        <v>28</v>
      </c>
      <c r="G279" s="41">
        <v>28</v>
      </c>
      <c r="H279" s="41">
        <v>26</v>
      </c>
      <c r="I279" s="41"/>
      <c r="J279" s="41">
        <v>28</v>
      </c>
      <c r="K279" s="41">
        <v>19</v>
      </c>
      <c r="L279" s="41">
        <v>31</v>
      </c>
      <c r="M279" s="41">
        <v>25</v>
      </c>
      <c r="O279" s="42">
        <f t="shared" si="154"/>
        <v>107</v>
      </c>
      <c r="P279" s="42">
        <f t="shared" si="155"/>
        <v>103</v>
      </c>
      <c r="Q279" s="42" t="str">
        <f t="shared" si="156"/>
        <v>HL</v>
      </c>
      <c r="R279" s="42" t="str">
        <f t="shared" si="157"/>
        <v>HW</v>
      </c>
      <c r="S279" s="42" t="str">
        <f t="shared" si="158"/>
        <v>HL</v>
      </c>
      <c r="T279" s="42" t="str">
        <f t="shared" si="159"/>
        <v>HW</v>
      </c>
      <c r="U279" s="42" t="str">
        <f t="shared" si="160"/>
        <v>U</v>
      </c>
      <c r="V279" s="42" t="str">
        <f t="shared" si="161"/>
        <v>U</v>
      </c>
      <c r="W279" s="42" t="str">
        <f t="shared" si="162"/>
        <v>O</v>
      </c>
      <c r="X279" s="42" t="str">
        <f t="shared" si="163"/>
        <v>U</v>
      </c>
      <c r="Z279">
        <v>57.5</v>
      </c>
      <c r="AA279" t="str">
        <f t="shared" si="153"/>
        <v>POR/CHI</v>
      </c>
    </row>
    <row r="280" spans="1:27" ht="17.100000000000001" x14ac:dyDescent="0.45">
      <c r="A280" s="12">
        <v>191130</v>
      </c>
      <c r="B280" s="1">
        <v>0.52083333333333337</v>
      </c>
      <c r="C280" t="s">
        <v>311</v>
      </c>
      <c r="D280" s="5" t="s">
        <v>312</v>
      </c>
      <c r="E280" s="34">
        <v>37</v>
      </c>
      <c r="F280" s="34">
        <v>33</v>
      </c>
      <c r="G280" s="34">
        <v>35</v>
      </c>
      <c r="H280" s="34">
        <v>20</v>
      </c>
      <c r="I280" s="34"/>
      <c r="J280" s="34">
        <v>23</v>
      </c>
      <c r="K280" s="34">
        <v>26</v>
      </c>
      <c r="L280" s="34">
        <v>30</v>
      </c>
      <c r="M280" s="34">
        <v>24</v>
      </c>
      <c r="O280" s="42">
        <f t="shared" si="154"/>
        <v>125</v>
      </c>
      <c r="P280" s="42">
        <f t="shared" si="155"/>
        <v>103</v>
      </c>
      <c r="Q280" s="42" t="str">
        <f t="shared" si="156"/>
        <v>HW</v>
      </c>
      <c r="R280" s="42" t="str">
        <f t="shared" si="157"/>
        <v>HW</v>
      </c>
      <c r="S280" s="42" t="str">
        <f t="shared" si="158"/>
        <v>HW</v>
      </c>
      <c r="T280" s="42" t="str">
        <f t="shared" si="159"/>
        <v>HL</v>
      </c>
      <c r="U280" s="42" t="str">
        <f t="shared" si="160"/>
        <v>T</v>
      </c>
      <c r="V280" s="42" t="str">
        <f t="shared" si="161"/>
        <v>U</v>
      </c>
      <c r="W280" s="42" t="str">
        <f t="shared" si="162"/>
        <v>O</v>
      </c>
      <c r="X280" s="42" t="str">
        <f t="shared" si="163"/>
        <v>U</v>
      </c>
      <c r="Z280">
        <v>60</v>
      </c>
      <c r="AA280" t="str">
        <f t="shared" si="153"/>
        <v>LAL/WAS</v>
      </c>
    </row>
    <row r="281" spans="1:27" ht="17.100000000000001" x14ac:dyDescent="0.45">
      <c r="A281">
        <v>191201</v>
      </c>
      <c r="B281" s="1">
        <v>0.29166666666666669</v>
      </c>
      <c r="C281" s="15" t="s">
        <v>44</v>
      </c>
      <c r="D281" s="15" t="s">
        <v>314</v>
      </c>
      <c r="E281" s="42">
        <v>17</v>
      </c>
      <c r="F281" s="42">
        <v>23</v>
      </c>
      <c r="G281" s="42">
        <v>27</v>
      </c>
      <c r="H281" s="42">
        <v>23</v>
      </c>
      <c r="I281" s="42">
        <v>10</v>
      </c>
      <c r="J281" s="42">
        <v>27</v>
      </c>
      <c r="K281" s="42">
        <v>30</v>
      </c>
      <c r="L281" s="42">
        <v>18</v>
      </c>
      <c r="M281" s="42">
        <v>15</v>
      </c>
      <c r="N281" s="42">
        <v>7</v>
      </c>
      <c r="O281" s="42">
        <f t="shared" ref="O281:O299" si="164">SUM(E281:I281)</f>
        <v>100</v>
      </c>
      <c r="P281" s="42">
        <f t="shared" ref="P281:P299" si="165">SUM(J281:N281)</f>
        <v>97</v>
      </c>
      <c r="Q281" s="42" t="str">
        <f t="shared" ref="Q281:Q299" si="166">IF(E281=J281,"TT",IF(E281&gt;J281,"HW","HL"))</f>
        <v>HL</v>
      </c>
      <c r="R281" s="42" t="str">
        <f t="shared" ref="R281:R299" si="167">IF(F281=K281,"TT",IF(F281&gt;K281,"HW","HL"))</f>
        <v>HL</v>
      </c>
      <c r="S281" s="42" t="str">
        <f t="shared" ref="S281:S299" si="168">IF(G281=L281,"TT",IF(G281&gt;L281,"HW","HL"))</f>
        <v>HW</v>
      </c>
      <c r="T281" s="42" t="str">
        <f t="shared" ref="T281:T299" si="169">IF(H281=M281,"TT",IF(H281&gt;M281,"HW","HL"))</f>
        <v>HW</v>
      </c>
      <c r="U281" s="42" t="str">
        <f t="shared" ref="U281:U299" si="170">IF(SUM(E281,J281)=$Z281,"T",IF(SUM(E281,J281)&gt;$Z281,"O","U"))</f>
        <v>U</v>
      </c>
      <c r="V281" s="42" t="str">
        <f t="shared" ref="V281:V299" si="171">IF(SUM(F281,K281)=$Z281,"T",IF(SUM(F281,K281)&gt;$Z281,"O","U"))</f>
        <v>U</v>
      </c>
      <c r="W281" s="42" t="str">
        <f t="shared" ref="W281:W299" si="172">IF(SUM(G281,L281)=$Z281,"T",IF(SUM(G281,L281)&gt;$Z281,"O","U"))</f>
        <v>U</v>
      </c>
      <c r="X281" s="42" t="str">
        <f t="shared" ref="X281:X299" si="173">IF(SUM(H281,M281)=$Z281,"T",IF(SUM(H281,M281)&gt;$Z281,"O","U"))</f>
        <v>U</v>
      </c>
      <c r="Z281">
        <v>53.5</v>
      </c>
      <c r="AA281" t="str">
        <f t="shared" si="153"/>
        <v>SAC/DEN</v>
      </c>
    </row>
    <row r="282" spans="1:27" ht="17.100000000000001" x14ac:dyDescent="0.45">
      <c r="A282" s="12">
        <v>191201</v>
      </c>
      <c r="B282" s="1">
        <v>0.375</v>
      </c>
      <c r="C282" s="11" t="s">
        <v>41</v>
      </c>
      <c r="D282" s="11" t="s">
        <v>35</v>
      </c>
      <c r="E282" s="42">
        <v>38</v>
      </c>
      <c r="F282" s="42">
        <v>27</v>
      </c>
      <c r="G282" s="42">
        <v>28</v>
      </c>
      <c r="H282" s="42">
        <v>26</v>
      </c>
      <c r="I282" s="42"/>
      <c r="J282" s="42">
        <v>29</v>
      </c>
      <c r="K282" s="42">
        <v>36</v>
      </c>
      <c r="L282" s="42">
        <v>28</v>
      </c>
      <c r="M282" s="42">
        <v>23</v>
      </c>
      <c r="O282" s="42">
        <f t="shared" si="164"/>
        <v>119</v>
      </c>
      <c r="P282" s="42">
        <f t="shared" si="165"/>
        <v>116</v>
      </c>
      <c r="Q282" s="42" t="str">
        <f t="shared" si="166"/>
        <v>HW</v>
      </c>
      <c r="R282" s="42" t="str">
        <f t="shared" si="167"/>
        <v>HL</v>
      </c>
      <c r="S282" s="42" t="str">
        <f t="shared" si="168"/>
        <v>TT</v>
      </c>
      <c r="T282" s="42" t="str">
        <f t="shared" si="169"/>
        <v>HW</v>
      </c>
      <c r="U282" s="42" t="str">
        <f t="shared" si="170"/>
        <v>O</v>
      </c>
      <c r="V282" s="42" t="str">
        <f t="shared" si="171"/>
        <v>O</v>
      </c>
      <c r="W282" s="42" t="str">
        <f t="shared" si="172"/>
        <v>O</v>
      </c>
      <c r="X282" s="42" t="str">
        <f t="shared" si="173"/>
        <v>U</v>
      </c>
      <c r="Z282">
        <v>53.5</v>
      </c>
      <c r="AA282" t="str">
        <f t="shared" si="153"/>
        <v>PHI/IND</v>
      </c>
    </row>
    <row r="283" spans="1:27" ht="17.100000000000001" x14ac:dyDescent="0.45">
      <c r="A283" s="12">
        <v>191201</v>
      </c>
      <c r="B283" s="1">
        <v>0.41666666666666669</v>
      </c>
      <c r="C283" s="15" t="s">
        <v>115</v>
      </c>
      <c r="D283" s="11" t="s">
        <v>318</v>
      </c>
      <c r="E283" s="42">
        <v>38</v>
      </c>
      <c r="F283" s="42">
        <v>43</v>
      </c>
      <c r="G283" s="42">
        <v>46</v>
      </c>
      <c r="H283" s="42">
        <v>31</v>
      </c>
      <c r="I283" s="42"/>
      <c r="J283" s="42">
        <v>21</v>
      </c>
      <c r="K283" s="42">
        <v>31</v>
      </c>
      <c r="L283" s="42">
        <v>21</v>
      </c>
      <c r="M283" s="42">
        <v>38</v>
      </c>
      <c r="O283" s="42">
        <f t="shared" si="164"/>
        <v>158</v>
      </c>
      <c r="P283" s="42">
        <f t="shared" si="165"/>
        <v>111</v>
      </c>
      <c r="Q283" s="42" t="str">
        <f t="shared" si="166"/>
        <v>HW</v>
      </c>
      <c r="R283" s="42" t="str">
        <f t="shared" si="167"/>
        <v>HW</v>
      </c>
      <c r="S283" s="42" t="str">
        <f t="shared" si="168"/>
        <v>HW</v>
      </c>
      <c r="T283" s="42" t="str">
        <f t="shared" si="169"/>
        <v>HL</v>
      </c>
      <c r="U283" s="42" t="str">
        <f t="shared" si="170"/>
        <v>U</v>
      </c>
      <c r="V283" s="42" t="str">
        <f t="shared" si="171"/>
        <v>O</v>
      </c>
      <c r="W283" s="42" t="str">
        <f t="shared" si="172"/>
        <v>O</v>
      </c>
      <c r="X283" s="42" t="str">
        <f t="shared" si="173"/>
        <v>O</v>
      </c>
      <c r="Z283">
        <v>60.5</v>
      </c>
      <c r="AA283" t="str">
        <f t="shared" si="153"/>
        <v>HOU/ATL</v>
      </c>
    </row>
    <row r="284" spans="1:27" ht="17.100000000000001" x14ac:dyDescent="0.45">
      <c r="A284" s="12">
        <v>191201</v>
      </c>
      <c r="B284" s="1">
        <v>0.41666666666666669</v>
      </c>
      <c r="C284" s="42" t="s">
        <v>319</v>
      </c>
      <c r="D284" s="5" t="s">
        <v>31</v>
      </c>
      <c r="E284" s="42">
        <v>32</v>
      </c>
      <c r="F284" s="42">
        <v>34</v>
      </c>
      <c r="G284" s="42">
        <v>35</v>
      </c>
      <c r="H284" s="42">
        <v>36</v>
      </c>
      <c r="I284" s="42"/>
      <c r="J284" s="42">
        <v>25</v>
      </c>
      <c r="K284" s="42">
        <v>24</v>
      </c>
      <c r="L284" s="42">
        <v>26</v>
      </c>
      <c r="M284" s="42">
        <v>21</v>
      </c>
      <c r="O284" s="42">
        <f t="shared" si="164"/>
        <v>137</v>
      </c>
      <c r="P284" s="42">
        <f t="shared" si="165"/>
        <v>96</v>
      </c>
      <c r="Q284" s="42" t="str">
        <f t="shared" si="166"/>
        <v>HW</v>
      </c>
      <c r="R284" s="42" t="str">
        <f t="shared" si="167"/>
        <v>HW</v>
      </c>
      <c r="S284" s="42" t="str">
        <f t="shared" si="168"/>
        <v>HW</v>
      </c>
      <c r="T284" s="42" t="str">
        <f t="shared" si="169"/>
        <v>HW</v>
      </c>
      <c r="U284" s="42" t="str">
        <f t="shared" si="170"/>
        <v>U</v>
      </c>
      <c r="V284" s="42" t="str">
        <f t="shared" si="171"/>
        <v>T</v>
      </c>
      <c r="W284" s="42" t="str">
        <f t="shared" si="172"/>
        <v>O</v>
      </c>
      <c r="X284" s="42" t="str">
        <f t="shared" si="173"/>
        <v>U</v>
      </c>
      <c r="Z284">
        <v>58</v>
      </c>
      <c r="AA284" t="str">
        <f t="shared" si="153"/>
        <v>MIL/CHA</v>
      </c>
    </row>
    <row r="285" spans="1:27" ht="17.100000000000001" x14ac:dyDescent="0.45">
      <c r="A285" s="42">
        <v>191202</v>
      </c>
      <c r="B285" s="1">
        <v>0.20833333333333334</v>
      </c>
      <c r="C285" t="s">
        <v>321</v>
      </c>
      <c r="D285" s="5" t="s">
        <v>322</v>
      </c>
      <c r="E285" s="42">
        <v>30</v>
      </c>
      <c r="F285" s="42">
        <v>35</v>
      </c>
      <c r="G285" s="42">
        <v>16</v>
      </c>
      <c r="H285" s="42">
        <v>25</v>
      </c>
      <c r="I285" s="42"/>
      <c r="J285" s="42">
        <v>32</v>
      </c>
      <c r="K285" s="42">
        <v>26</v>
      </c>
      <c r="L285" s="42">
        <v>25</v>
      </c>
      <c r="M285" s="42">
        <v>26</v>
      </c>
      <c r="O285" s="42">
        <f t="shared" si="164"/>
        <v>106</v>
      </c>
      <c r="P285" s="42">
        <f t="shared" si="165"/>
        <v>109</v>
      </c>
      <c r="Q285" s="42" t="str">
        <f t="shared" si="166"/>
        <v>HL</v>
      </c>
      <c r="R285" s="42" t="str">
        <f t="shared" si="167"/>
        <v>HW</v>
      </c>
      <c r="S285" s="42" t="str">
        <f t="shared" si="168"/>
        <v>HL</v>
      </c>
      <c r="T285" s="42" t="str">
        <f t="shared" si="169"/>
        <v>HL</v>
      </c>
      <c r="U285" s="42" t="str">
        <f t="shared" si="170"/>
        <v>O</v>
      </c>
      <c r="V285" s="42" t="str">
        <f t="shared" si="171"/>
        <v>O</v>
      </c>
      <c r="W285" s="42" t="str">
        <f t="shared" si="172"/>
        <v>U</v>
      </c>
      <c r="X285" s="42" t="str">
        <f t="shared" si="173"/>
        <v>U</v>
      </c>
      <c r="Z285">
        <v>55.5</v>
      </c>
      <c r="AA285" t="str">
        <f t="shared" si="153"/>
        <v>BKN/MIA</v>
      </c>
    </row>
    <row r="286" spans="1:27" ht="17.100000000000001" x14ac:dyDescent="0.45">
      <c r="A286" s="42">
        <v>191202</v>
      </c>
      <c r="B286" s="1">
        <v>0.22916666666666666</v>
      </c>
      <c r="C286" t="s">
        <v>323</v>
      </c>
      <c r="D286" s="5" t="s">
        <v>324</v>
      </c>
      <c r="E286" s="42">
        <v>21</v>
      </c>
      <c r="F286" s="42">
        <v>26</v>
      </c>
      <c r="G286" s="42">
        <v>32</v>
      </c>
      <c r="H286" s="42">
        <v>28</v>
      </c>
      <c r="I286" s="42"/>
      <c r="J286" s="42">
        <v>25</v>
      </c>
      <c r="K286" s="42">
        <v>23</v>
      </c>
      <c r="L286" s="42">
        <v>38</v>
      </c>
      <c r="M286" s="42">
        <v>29</v>
      </c>
      <c r="O286" s="42">
        <f t="shared" si="164"/>
        <v>107</v>
      </c>
      <c r="P286" s="42">
        <f t="shared" si="165"/>
        <v>115</v>
      </c>
      <c r="Q286" s="42" t="str">
        <f t="shared" si="166"/>
        <v>HL</v>
      </c>
      <c r="R286" s="42" t="str">
        <f t="shared" si="167"/>
        <v>HW</v>
      </c>
      <c r="S286" s="42" t="str">
        <f t="shared" si="168"/>
        <v>HL</v>
      </c>
      <c r="T286" s="42" t="str">
        <f t="shared" si="169"/>
        <v>HL</v>
      </c>
      <c r="U286" s="42" t="str">
        <f t="shared" si="170"/>
        <v>U</v>
      </c>
      <c r="V286" s="42" t="str">
        <f t="shared" si="171"/>
        <v>U</v>
      </c>
      <c r="W286" s="42" t="str">
        <f t="shared" si="172"/>
        <v>O</v>
      </c>
      <c r="X286" s="42" t="str">
        <f t="shared" si="173"/>
        <v>O</v>
      </c>
      <c r="Z286">
        <v>56.5</v>
      </c>
      <c r="AA286" t="str">
        <f t="shared" si="153"/>
        <v>MIN/MEM</v>
      </c>
    </row>
    <row r="287" spans="1:27" ht="17.100000000000001" x14ac:dyDescent="0.45">
      <c r="A287" s="42">
        <v>191202</v>
      </c>
      <c r="B287" s="1">
        <v>0.22916666666666666</v>
      </c>
      <c r="C287" t="s">
        <v>325</v>
      </c>
      <c r="D287" s="5" t="s">
        <v>326</v>
      </c>
      <c r="E287" s="42">
        <v>30</v>
      </c>
      <c r="F287" s="42">
        <v>28</v>
      </c>
      <c r="G287" s="42">
        <v>27</v>
      </c>
      <c r="H287" s="42">
        <v>19</v>
      </c>
      <c r="I287" s="42"/>
      <c r="J287" s="42">
        <v>31</v>
      </c>
      <c r="K287" s="42">
        <v>27</v>
      </c>
      <c r="L287" s="42">
        <v>23</v>
      </c>
      <c r="M287" s="42">
        <v>32</v>
      </c>
      <c r="O287" s="42">
        <f t="shared" si="164"/>
        <v>104</v>
      </c>
      <c r="P287" s="42">
        <f t="shared" si="165"/>
        <v>113</v>
      </c>
      <c r="Q287" s="42" t="str">
        <f t="shared" si="166"/>
        <v>HL</v>
      </c>
      <c r="R287" s="42" t="str">
        <f t="shared" si="167"/>
        <v>HW</v>
      </c>
      <c r="S287" s="42" t="str">
        <f t="shared" si="168"/>
        <v>HW</v>
      </c>
      <c r="T287" s="42" t="str">
        <f t="shared" si="169"/>
        <v>HL</v>
      </c>
      <c r="U287" s="42" t="str">
        <f t="shared" si="170"/>
        <v>O</v>
      </c>
      <c r="V287" s="42" t="str">
        <f t="shared" si="171"/>
        <v>O</v>
      </c>
      <c r="W287" s="42" t="str">
        <f t="shared" si="172"/>
        <v>U</v>
      </c>
      <c r="X287" s="42" t="str">
        <f t="shared" si="173"/>
        <v>T</v>
      </c>
      <c r="Z287">
        <v>51</v>
      </c>
      <c r="AA287" t="str">
        <f t="shared" si="153"/>
        <v>NYK/BOS</v>
      </c>
    </row>
    <row r="288" spans="1:27" ht="17.100000000000001" x14ac:dyDescent="0.45">
      <c r="A288" s="42">
        <v>191202</v>
      </c>
      <c r="B288" s="1">
        <v>0.25</v>
      </c>
      <c r="C288" t="s">
        <v>327</v>
      </c>
      <c r="D288" s="5" t="s">
        <v>328</v>
      </c>
      <c r="E288" s="42">
        <v>30</v>
      </c>
      <c r="F288" s="42">
        <v>32</v>
      </c>
      <c r="G288" s="42">
        <v>17</v>
      </c>
      <c r="H288" s="42">
        <v>21</v>
      </c>
      <c r="I288" s="42"/>
      <c r="J288" s="42">
        <v>25</v>
      </c>
      <c r="K288" s="42">
        <v>34</v>
      </c>
      <c r="L288" s="42">
        <v>35</v>
      </c>
      <c r="M288" s="42">
        <v>20</v>
      </c>
      <c r="O288" s="42">
        <f t="shared" si="164"/>
        <v>100</v>
      </c>
      <c r="P288" s="42">
        <f t="shared" si="165"/>
        <v>114</v>
      </c>
      <c r="Q288" s="42" t="str">
        <f t="shared" si="166"/>
        <v>HW</v>
      </c>
      <c r="R288" s="42" t="str">
        <f t="shared" si="167"/>
        <v>HL</v>
      </c>
      <c r="S288" s="42" t="str">
        <f t="shared" si="168"/>
        <v>HL</v>
      </c>
      <c r="T288" s="42" t="str">
        <f t="shared" si="169"/>
        <v>HW</v>
      </c>
      <c r="U288" s="42" t="str">
        <f t="shared" si="170"/>
        <v>U</v>
      </c>
      <c r="V288" s="42" t="str">
        <f t="shared" si="171"/>
        <v>O</v>
      </c>
      <c r="W288" s="42" t="str">
        <f t="shared" si="172"/>
        <v>U</v>
      </c>
      <c r="X288" s="42" t="str">
        <f t="shared" si="173"/>
        <v>U</v>
      </c>
      <c r="Z288">
        <v>57.5</v>
      </c>
      <c r="AA288" t="str">
        <f t="shared" si="153"/>
        <v>LAL/DAL</v>
      </c>
    </row>
    <row r="289" spans="1:27" ht="17.100000000000001" x14ac:dyDescent="0.45">
      <c r="A289" s="42">
        <v>191202</v>
      </c>
      <c r="B289" s="1">
        <v>0.29166666666666669</v>
      </c>
      <c r="C289" t="s">
        <v>329</v>
      </c>
      <c r="D289" s="5" t="s">
        <v>330</v>
      </c>
      <c r="E289" s="42">
        <v>29</v>
      </c>
      <c r="F289" s="42">
        <v>26</v>
      </c>
      <c r="G289" s="42">
        <v>22</v>
      </c>
      <c r="H289" s="42">
        <v>27</v>
      </c>
      <c r="I289" s="42"/>
      <c r="J289" s="42">
        <v>33</v>
      </c>
      <c r="K289" s="42">
        <v>23</v>
      </c>
      <c r="L289" s="42">
        <v>26</v>
      </c>
      <c r="M289" s="42">
        <v>25</v>
      </c>
      <c r="O289" s="42">
        <f t="shared" si="164"/>
        <v>104</v>
      </c>
      <c r="P289" s="42">
        <f t="shared" si="165"/>
        <v>107</v>
      </c>
      <c r="Q289" s="42" t="str">
        <f t="shared" si="166"/>
        <v>HL</v>
      </c>
      <c r="R289" s="42" t="str">
        <f t="shared" si="167"/>
        <v>HW</v>
      </c>
      <c r="S289" s="42" t="str">
        <f t="shared" si="168"/>
        <v>HL</v>
      </c>
      <c r="T289" s="42" t="str">
        <f t="shared" si="169"/>
        <v>HW</v>
      </c>
      <c r="U289" s="42" t="str">
        <f t="shared" si="170"/>
        <v>O</v>
      </c>
      <c r="V289" s="42" t="str">
        <f t="shared" si="171"/>
        <v>U</v>
      </c>
      <c r="W289" s="42" t="str">
        <f t="shared" si="172"/>
        <v>U</v>
      </c>
      <c r="X289" s="42" t="str">
        <f t="shared" si="173"/>
        <v>U</v>
      </c>
      <c r="Z289">
        <v>58.5</v>
      </c>
      <c r="AA289" t="str">
        <f t="shared" si="153"/>
        <v>NO/OKC</v>
      </c>
    </row>
    <row r="290" spans="1:27" ht="17.100000000000001" x14ac:dyDescent="0.45">
      <c r="A290" s="42">
        <v>191202</v>
      </c>
      <c r="B290" s="1">
        <v>0.29166666666666669</v>
      </c>
      <c r="C290" t="s">
        <v>331</v>
      </c>
      <c r="D290" s="5" t="s">
        <v>332</v>
      </c>
      <c r="E290" s="42">
        <v>32</v>
      </c>
      <c r="F290" s="42">
        <v>27</v>
      </c>
      <c r="G290" s="42">
        <v>37</v>
      </c>
      <c r="H290" s="42">
        <v>36</v>
      </c>
      <c r="I290" s="42"/>
      <c r="J290" s="42">
        <v>27</v>
      </c>
      <c r="K290" s="42">
        <v>24</v>
      </c>
      <c r="L290" s="42">
        <v>20</v>
      </c>
      <c r="M290" s="42">
        <v>27</v>
      </c>
      <c r="O290" s="42">
        <f t="shared" si="164"/>
        <v>132</v>
      </c>
      <c r="P290" s="42">
        <f t="shared" si="165"/>
        <v>98</v>
      </c>
      <c r="Q290" s="42" t="str">
        <f t="shared" si="166"/>
        <v>HW</v>
      </c>
      <c r="R290" s="42" t="str">
        <f t="shared" si="167"/>
        <v>HW</v>
      </c>
      <c r="S290" s="42" t="str">
        <f t="shared" si="168"/>
        <v>HW</v>
      </c>
      <c r="T290" s="42" t="str">
        <f t="shared" si="169"/>
        <v>HW</v>
      </c>
      <c r="U290" s="42" t="str">
        <f t="shared" si="170"/>
        <v>O</v>
      </c>
      <c r="V290" s="42" t="str">
        <f t="shared" si="171"/>
        <v>U</v>
      </c>
      <c r="W290" s="42" t="str">
        <f t="shared" si="172"/>
        <v>O</v>
      </c>
      <c r="X290" s="42" t="str">
        <f t="shared" si="173"/>
        <v>O</v>
      </c>
      <c r="Z290">
        <v>53</v>
      </c>
      <c r="AA290" t="str">
        <f t="shared" si="153"/>
        <v>DET/SAS</v>
      </c>
    </row>
    <row r="291" spans="1:27" ht="17.100000000000001" x14ac:dyDescent="0.45">
      <c r="A291" s="42">
        <v>191202</v>
      </c>
      <c r="B291" s="1">
        <v>0.33333333333333331</v>
      </c>
      <c r="C291" t="s">
        <v>333</v>
      </c>
      <c r="D291" s="5" t="s">
        <v>334</v>
      </c>
      <c r="E291" s="42">
        <v>26</v>
      </c>
      <c r="F291" s="42">
        <v>25</v>
      </c>
      <c r="G291" s="42">
        <v>21</v>
      </c>
      <c r="H291" s="42">
        <v>28</v>
      </c>
      <c r="I291" s="42"/>
      <c r="J291" s="42">
        <v>22</v>
      </c>
      <c r="K291" s="42">
        <v>29</v>
      </c>
      <c r="L291" s="42">
        <v>20</v>
      </c>
      <c r="M291" s="42">
        <v>25</v>
      </c>
      <c r="O291" s="42">
        <f t="shared" si="164"/>
        <v>100</v>
      </c>
      <c r="P291" s="42">
        <f t="shared" si="165"/>
        <v>96</v>
      </c>
      <c r="Q291" s="42" t="str">
        <f t="shared" si="166"/>
        <v>HW</v>
      </c>
      <c r="R291" s="42" t="str">
        <f t="shared" si="167"/>
        <v>HL</v>
      </c>
      <c r="S291" s="42" t="str">
        <f t="shared" si="168"/>
        <v>HW</v>
      </c>
      <c r="T291" s="42" t="str">
        <f t="shared" si="169"/>
        <v>HW</v>
      </c>
      <c r="U291" s="42" t="str">
        <f t="shared" si="170"/>
        <v>U</v>
      </c>
      <c r="V291" s="42" t="str">
        <f t="shared" si="171"/>
        <v>O</v>
      </c>
      <c r="W291" s="42" t="str">
        <f t="shared" si="172"/>
        <v>U</v>
      </c>
      <c r="X291" s="42" t="str">
        <f t="shared" si="173"/>
        <v>T</v>
      </c>
      <c r="Z291">
        <v>53</v>
      </c>
      <c r="AA291" t="str">
        <f t="shared" si="153"/>
        <v>ORL/GS</v>
      </c>
    </row>
    <row r="292" spans="1:27" ht="17.100000000000001" x14ac:dyDescent="0.45">
      <c r="A292" s="42">
        <v>191202</v>
      </c>
      <c r="B292" s="1">
        <v>0.33333333333333331</v>
      </c>
      <c r="C292" t="s">
        <v>335</v>
      </c>
      <c r="D292" s="5" t="s">
        <v>336</v>
      </c>
      <c r="E292" s="42">
        <v>37</v>
      </c>
      <c r="F292" s="42">
        <v>40</v>
      </c>
      <c r="G292" s="42">
        <v>30</v>
      </c>
      <c r="H292" s="42">
        <v>23</v>
      </c>
      <c r="I292" s="42"/>
      <c r="J292" s="42">
        <v>20</v>
      </c>
      <c r="K292" s="42">
        <v>17</v>
      </c>
      <c r="L292" s="42">
        <v>49</v>
      </c>
      <c r="M292" s="42">
        <v>24</v>
      </c>
      <c r="O292" s="42">
        <f t="shared" si="164"/>
        <v>130</v>
      </c>
      <c r="P292" s="42">
        <f t="shared" si="165"/>
        <v>110</v>
      </c>
      <c r="Q292" s="42" t="str">
        <f t="shared" si="166"/>
        <v>HW</v>
      </c>
      <c r="R292" s="42" t="str">
        <f t="shared" si="167"/>
        <v>HW</v>
      </c>
      <c r="S292" s="42" t="str">
        <f t="shared" si="168"/>
        <v>HL</v>
      </c>
      <c r="T292" s="42" t="str">
        <f t="shared" si="169"/>
        <v>HL</v>
      </c>
      <c r="U292" s="42" t="str">
        <f t="shared" si="170"/>
        <v>O</v>
      </c>
      <c r="V292" s="42" t="str">
        <f t="shared" si="171"/>
        <v>O</v>
      </c>
      <c r="W292" s="42" t="str">
        <f t="shared" si="172"/>
        <v>O</v>
      </c>
      <c r="X292" s="42" t="str">
        <f t="shared" si="173"/>
        <v>U</v>
      </c>
      <c r="Z292">
        <v>51.5</v>
      </c>
      <c r="AA292" t="str">
        <f t="shared" si="153"/>
        <v>TOR/UTA</v>
      </c>
    </row>
    <row r="293" spans="1:27" ht="17.100000000000001" x14ac:dyDescent="0.45">
      <c r="A293" s="42">
        <v>191202</v>
      </c>
      <c r="B293" s="1">
        <v>0.52083333333333337</v>
      </c>
      <c r="C293" t="s">
        <v>337</v>
      </c>
      <c r="D293" s="5" t="s">
        <v>338</v>
      </c>
      <c r="E293" s="42">
        <v>39</v>
      </c>
      <c r="F293" s="42">
        <v>43</v>
      </c>
      <c r="G293" s="42">
        <v>34</v>
      </c>
      <c r="H293" s="42">
        <v>34</v>
      </c>
      <c r="I293" s="42"/>
      <c r="J293" s="42">
        <v>35</v>
      </c>
      <c r="K293" s="42">
        <v>22</v>
      </c>
      <c r="L293" s="42">
        <v>41</v>
      </c>
      <c r="M293" s="42">
        <v>27</v>
      </c>
      <c r="O293" s="42">
        <f t="shared" si="164"/>
        <v>150</v>
      </c>
      <c r="P293" s="42">
        <f t="shared" si="165"/>
        <v>125</v>
      </c>
      <c r="Q293" s="42" t="str">
        <f t="shared" si="166"/>
        <v>HW</v>
      </c>
      <c r="R293" s="42" t="str">
        <f t="shared" si="167"/>
        <v>HW</v>
      </c>
      <c r="S293" s="42" t="str">
        <f t="shared" si="168"/>
        <v>HL</v>
      </c>
      <c r="T293" s="42" t="str">
        <f t="shared" si="169"/>
        <v>HW</v>
      </c>
      <c r="U293" s="42" t="str">
        <f t="shared" si="170"/>
        <v>O</v>
      </c>
      <c r="V293" s="42" t="str">
        <f t="shared" si="171"/>
        <v>O</v>
      </c>
      <c r="W293" s="42" t="str">
        <f t="shared" si="172"/>
        <v>O</v>
      </c>
      <c r="X293" s="42" t="str">
        <f t="shared" si="173"/>
        <v>U</v>
      </c>
      <c r="Z293">
        <v>61.5</v>
      </c>
      <c r="AA293" t="str">
        <f t="shared" si="153"/>
        <v>LAC/WAS</v>
      </c>
    </row>
    <row r="294" spans="1:27" ht="17.100000000000001" x14ac:dyDescent="0.45">
      <c r="A294" s="42">
        <v>191203</v>
      </c>
      <c r="B294" s="1">
        <v>0.375</v>
      </c>
      <c r="C294" t="s">
        <v>339</v>
      </c>
      <c r="D294" s="5" t="s">
        <v>336</v>
      </c>
      <c r="E294" s="42">
        <v>31</v>
      </c>
      <c r="F294" s="42">
        <v>29</v>
      </c>
      <c r="G294" s="42">
        <v>25</v>
      </c>
      <c r="H294" s="42">
        <v>18</v>
      </c>
      <c r="I294" s="42"/>
      <c r="J294" s="42">
        <v>23</v>
      </c>
      <c r="K294" s="42">
        <v>19</v>
      </c>
      <c r="L294" s="42">
        <v>24</v>
      </c>
      <c r="M294" s="42">
        <v>28</v>
      </c>
      <c r="O294" s="42">
        <f t="shared" si="164"/>
        <v>103</v>
      </c>
      <c r="P294" s="42">
        <f t="shared" si="165"/>
        <v>94</v>
      </c>
      <c r="Q294" s="42" t="str">
        <f t="shared" si="166"/>
        <v>HW</v>
      </c>
      <c r="R294" s="42" t="str">
        <f t="shared" si="167"/>
        <v>HW</v>
      </c>
      <c r="S294" s="42" t="str">
        <f t="shared" si="168"/>
        <v>HW</v>
      </c>
      <c r="T294" s="42" t="str">
        <f t="shared" si="169"/>
        <v>HL</v>
      </c>
      <c r="U294" s="42" t="str">
        <f t="shared" si="170"/>
        <v>O</v>
      </c>
      <c r="V294" s="42" t="str">
        <f t="shared" si="171"/>
        <v>U</v>
      </c>
      <c r="W294" s="42" t="str">
        <f t="shared" si="172"/>
        <v>U</v>
      </c>
      <c r="X294" s="42" t="str">
        <f t="shared" si="173"/>
        <v>U</v>
      </c>
      <c r="Z294">
        <v>51</v>
      </c>
      <c r="AA294" t="str">
        <f t="shared" si="153"/>
        <v>PHI/UTA</v>
      </c>
    </row>
    <row r="295" spans="1:27" ht="17.100000000000001" x14ac:dyDescent="0.45">
      <c r="A295" s="42">
        <v>191203</v>
      </c>
      <c r="B295" s="1">
        <v>0.375</v>
      </c>
      <c r="C295" t="s">
        <v>340</v>
      </c>
      <c r="D295" s="5" t="s">
        <v>341</v>
      </c>
      <c r="E295" s="42">
        <v>21</v>
      </c>
      <c r="F295" s="42">
        <v>18</v>
      </c>
      <c r="G295" s="42">
        <v>34</v>
      </c>
      <c r="H295" s="42">
        <v>31</v>
      </c>
      <c r="I295" s="42"/>
      <c r="J295" s="42">
        <v>28</v>
      </c>
      <c r="K295" s="42">
        <v>31</v>
      </c>
      <c r="L295" s="42">
        <v>21</v>
      </c>
      <c r="M295" s="42">
        <v>29</v>
      </c>
      <c r="O295" s="42">
        <f t="shared" si="164"/>
        <v>104</v>
      </c>
      <c r="P295" s="42">
        <f t="shared" si="165"/>
        <v>109</v>
      </c>
      <c r="Q295" s="42" t="str">
        <f t="shared" si="166"/>
        <v>HL</v>
      </c>
      <c r="R295" s="42" t="str">
        <f t="shared" si="167"/>
        <v>HL</v>
      </c>
      <c r="S295" s="42" t="str">
        <f t="shared" si="168"/>
        <v>HW</v>
      </c>
      <c r="T295" s="42" t="str">
        <f t="shared" si="169"/>
        <v>HW</v>
      </c>
      <c r="U295" s="42" t="str">
        <f t="shared" si="170"/>
        <v>U</v>
      </c>
      <c r="V295" s="42" t="str">
        <f t="shared" si="171"/>
        <v>U</v>
      </c>
      <c r="W295" s="42" t="str">
        <f t="shared" si="172"/>
        <v>O</v>
      </c>
      <c r="X295" s="42" t="str">
        <f t="shared" si="173"/>
        <v>O</v>
      </c>
      <c r="Z295">
        <v>54.5</v>
      </c>
      <c r="AA295" t="str">
        <f t="shared" si="153"/>
        <v>CHA/PHO</v>
      </c>
    </row>
    <row r="296" spans="1:27" ht="17.100000000000001" x14ac:dyDescent="0.45">
      <c r="A296" s="42">
        <v>191203</v>
      </c>
      <c r="B296" s="1">
        <v>0.39583333333333331</v>
      </c>
      <c r="C296" t="s">
        <v>342</v>
      </c>
      <c r="D296" s="5" t="s">
        <v>334</v>
      </c>
      <c r="E296" s="42">
        <v>20</v>
      </c>
      <c r="F296" s="42">
        <v>29</v>
      </c>
      <c r="G296" s="42">
        <v>27</v>
      </c>
      <c r="H296" s="42">
        <v>28</v>
      </c>
      <c r="I296" s="42"/>
      <c r="J296" s="42">
        <v>23</v>
      </c>
      <c r="K296" s="42">
        <v>17</v>
      </c>
      <c r="L296" s="42">
        <v>13</v>
      </c>
      <c r="M296" s="42">
        <v>26</v>
      </c>
      <c r="O296" s="42">
        <f t="shared" si="164"/>
        <v>104</v>
      </c>
      <c r="P296" s="42">
        <f t="shared" si="165"/>
        <v>79</v>
      </c>
      <c r="Q296" s="42" t="str">
        <f t="shared" si="166"/>
        <v>HL</v>
      </c>
      <c r="R296" s="42" t="str">
        <f t="shared" si="167"/>
        <v>HW</v>
      </c>
      <c r="S296" s="42" t="str">
        <f t="shared" si="168"/>
        <v>HW</v>
      </c>
      <c r="T296" s="42" t="str">
        <f t="shared" si="169"/>
        <v>HW</v>
      </c>
      <c r="U296" s="42" t="str">
        <f t="shared" si="170"/>
        <v>U</v>
      </c>
      <c r="V296" s="42" t="str">
        <f t="shared" si="171"/>
        <v>U</v>
      </c>
      <c r="W296" s="42" t="str">
        <f t="shared" si="172"/>
        <v>U</v>
      </c>
      <c r="X296" s="42" t="str">
        <f t="shared" si="173"/>
        <v>U</v>
      </c>
      <c r="Z296">
        <v>57</v>
      </c>
      <c r="AA296" t="str">
        <f t="shared" si="153"/>
        <v>ATL/GS</v>
      </c>
    </row>
    <row r="297" spans="1:27" ht="17.100000000000001" x14ac:dyDescent="0.45">
      <c r="A297" s="42">
        <v>191203</v>
      </c>
      <c r="B297" s="1">
        <v>0.41666666666666669</v>
      </c>
      <c r="C297" t="s">
        <v>343</v>
      </c>
      <c r="D297" s="5" t="s">
        <v>325</v>
      </c>
      <c r="E297" s="42">
        <v>33</v>
      </c>
      <c r="F297" s="42">
        <v>39</v>
      </c>
      <c r="G297" s="42">
        <v>28</v>
      </c>
      <c r="H297" s="42">
        <v>32</v>
      </c>
      <c r="I297" s="42"/>
      <c r="J297" s="42">
        <v>15</v>
      </c>
      <c r="K297" s="42">
        <v>30</v>
      </c>
      <c r="L297" s="42">
        <v>17</v>
      </c>
      <c r="M297" s="42">
        <v>26</v>
      </c>
      <c r="O297" s="42">
        <f t="shared" si="164"/>
        <v>132</v>
      </c>
      <c r="P297" s="42">
        <f t="shared" si="165"/>
        <v>88</v>
      </c>
      <c r="Q297" s="42" t="str">
        <f t="shared" si="166"/>
        <v>HW</v>
      </c>
      <c r="R297" s="42" t="str">
        <f t="shared" si="167"/>
        <v>HW</v>
      </c>
      <c r="S297" s="42" t="str">
        <f t="shared" si="168"/>
        <v>HW</v>
      </c>
      <c r="T297" s="42" t="str">
        <f t="shared" si="169"/>
        <v>HW</v>
      </c>
      <c r="U297" s="42" t="str">
        <f t="shared" si="170"/>
        <v>U</v>
      </c>
      <c r="V297" s="42" t="str">
        <f t="shared" si="171"/>
        <v>O</v>
      </c>
      <c r="W297" s="42" t="str">
        <f t="shared" si="172"/>
        <v>U</v>
      </c>
      <c r="X297" s="42" t="str">
        <f t="shared" si="173"/>
        <v>O</v>
      </c>
      <c r="Z297">
        <v>57</v>
      </c>
      <c r="AA297" t="str">
        <f t="shared" si="153"/>
        <v>MIL/NYK</v>
      </c>
    </row>
    <row r="298" spans="1:27" ht="17.100000000000001" x14ac:dyDescent="0.45">
      <c r="A298" s="42">
        <v>191203</v>
      </c>
      <c r="B298" s="1">
        <v>0.41666666666666669</v>
      </c>
      <c r="C298" t="s">
        <v>324</v>
      </c>
      <c r="D298" s="5" t="s">
        <v>344</v>
      </c>
      <c r="E298" s="42">
        <v>19</v>
      </c>
      <c r="F298" s="42">
        <v>28</v>
      </c>
      <c r="G298" s="42">
        <v>26</v>
      </c>
      <c r="H298" s="42">
        <v>31</v>
      </c>
      <c r="I298" s="42"/>
      <c r="J298" s="42">
        <v>24</v>
      </c>
      <c r="K298" s="42">
        <v>33</v>
      </c>
      <c r="L298" s="42">
        <v>28</v>
      </c>
      <c r="M298" s="42">
        <v>32</v>
      </c>
      <c r="O298" s="42">
        <f t="shared" si="164"/>
        <v>104</v>
      </c>
      <c r="P298" s="42">
        <f t="shared" si="165"/>
        <v>117</v>
      </c>
      <c r="Q298" s="42" t="str">
        <f t="shared" si="166"/>
        <v>HL</v>
      </c>
      <c r="R298" s="42" t="str">
        <f t="shared" si="167"/>
        <v>HL</v>
      </c>
      <c r="S298" s="42" t="str">
        <f t="shared" si="168"/>
        <v>HL</v>
      </c>
      <c r="T298" s="42" t="str">
        <f t="shared" si="169"/>
        <v>HL</v>
      </c>
      <c r="U298" s="42" t="str">
        <f t="shared" si="170"/>
        <v>U</v>
      </c>
      <c r="V298" s="42" t="str">
        <f t="shared" si="171"/>
        <v>O</v>
      </c>
      <c r="W298" s="42" t="str">
        <f t="shared" si="172"/>
        <v>U</v>
      </c>
      <c r="X298" s="42" t="str">
        <f t="shared" si="173"/>
        <v>O</v>
      </c>
      <c r="Z298">
        <v>56</v>
      </c>
      <c r="AA298" t="str">
        <f t="shared" si="153"/>
        <v>MEM/IND</v>
      </c>
    </row>
    <row r="299" spans="1:27" ht="17.100000000000001" x14ac:dyDescent="0.45">
      <c r="A299" s="42">
        <v>191203</v>
      </c>
      <c r="B299" s="1">
        <v>0.5</v>
      </c>
      <c r="C299" t="s">
        <v>345</v>
      </c>
      <c r="D299" s="5" t="s">
        <v>346</v>
      </c>
      <c r="E299" s="42">
        <v>23</v>
      </c>
      <c r="F299" s="42">
        <v>21</v>
      </c>
      <c r="G299" s="42">
        <v>30</v>
      </c>
      <c r="H299" s="42">
        <v>32</v>
      </c>
      <c r="I299" s="42"/>
      <c r="J299" s="42">
        <v>22</v>
      </c>
      <c r="K299" s="42">
        <v>33</v>
      </c>
      <c r="L299" s="42">
        <v>29</v>
      </c>
      <c r="M299" s="42">
        <v>29</v>
      </c>
      <c r="O299" s="42">
        <f t="shared" si="164"/>
        <v>106</v>
      </c>
      <c r="P299" s="42">
        <f t="shared" si="165"/>
        <v>113</v>
      </c>
      <c r="Q299" s="42" t="str">
        <f t="shared" si="166"/>
        <v>HW</v>
      </c>
      <c r="R299" s="42" t="str">
        <f t="shared" si="167"/>
        <v>HL</v>
      </c>
      <c r="S299" s="42" t="str">
        <f t="shared" si="168"/>
        <v>HW</v>
      </c>
      <c r="T299" s="42" t="str">
        <f t="shared" si="169"/>
        <v>HW</v>
      </c>
      <c r="U299" s="42" t="str">
        <f t="shared" si="170"/>
        <v>U</v>
      </c>
      <c r="V299" s="42" t="str">
        <f t="shared" si="171"/>
        <v>U</v>
      </c>
      <c r="W299" s="42" t="str">
        <f t="shared" si="172"/>
        <v>O</v>
      </c>
      <c r="X299" s="42" t="str">
        <f t="shared" si="173"/>
        <v>O</v>
      </c>
      <c r="Z299">
        <v>54.5</v>
      </c>
      <c r="AA299" t="str">
        <f t="shared" si="153"/>
        <v>SAC/CHI</v>
      </c>
    </row>
    <row r="300" spans="1:27" ht="17.100000000000001" x14ac:dyDescent="0.45">
      <c r="A300" s="42">
        <v>191204</v>
      </c>
      <c r="B300" s="1">
        <v>0.375</v>
      </c>
      <c r="C300" t="s">
        <v>347</v>
      </c>
      <c r="D300" s="11" t="s">
        <v>331</v>
      </c>
      <c r="E300" s="42">
        <v>28</v>
      </c>
      <c r="F300" s="42">
        <v>18</v>
      </c>
      <c r="G300" s="42">
        <v>22</v>
      </c>
      <c r="H300" s="42">
        <v>26</v>
      </c>
      <c r="I300" s="42"/>
      <c r="J300" s="42">
        <v>32</v>
      </c>
      <c r="K300" s="42">
        <v>30</v>
      </c>
      <c r="L300" s="42">
        <v>35</v>
      </c>
      <c r="M300" s="42">
        <v>30</v>
      </c>
      <c r="O300" s="42">
        <f t="shared" ref="O300:O306" si="174">SUM(E300:I300)</f>
        <v>94</v>
      </c>
      <c r="P300" s="42">
        <f t="shared" ref="P300:P306" si="175">SUM(J300:N300)</f>
        <v>127</v>
      </c>
      <c r="Q300" s="42" t="str">
        <f t="shared" ref="Q300:Q306" si="176">IF(E300=J300,"TT",IF(E300&gt;J300,"HW","HL"))</f>
        <v>HL</v>
      </c>
      <c r="R300" s="42" t="str">
        <f t="shared" ref="R300:R306" si="177">IF(F300=K300,"TT",IF(F300&gt;K300,"HW","HL"))</f>
        <v>HL</v>
      </c>
      <c r="S300" s="42" t="str">
        <f t="shared" ref="S300:S306" si="178">IF(G300=L300,"TT",IF(G300&gt;L300,"HW","HL"))</f>
        <v>HL</v>
      </c>
      <c r="T300" s="42" t="str">
        <f t="shared" ref="T300:T306" si="179">IF(H300=M300,"TT",IF(H300&gt;M300,"HW","HL"))</f>
        <v>HL</v>
      </c>
      <c r="U300" s="42" t="str">
        <f t="shared" ref="U300:U306" si="180">IF(SUM(E300,J300)=$Z300,"T",IF(SUM(E300,J300)&gt;$Z300,"O","U"))</f>
        <v>O</v>
      </c>
      <c r="V300" s="42" t="str">
        <f t="shared" ref="V300:V306" si="181">IF(SUM(F300,K300)=$Z300,"T",IF(SUM(F300,K300)&gt;$Z300,"O","U"))</f>
        <v>U</v>
      </c>
      <c r="W300" s="42" t="str">
        <f t="shared" ref="W300:W306" si="182">IF(SUM(G300,L300)=$Z300,"T",IF(SUM(G300,L300)&gt;$Z300,"O","U"))</f>
        <v>O</v>
      </c>
      <c r="X300" s="42" t="str">
        <f t="shared" ref="X300:X306" si="183">IF(SUM(H300,M300)=$Z300,"T",IF(SUM(H300,M300)&gt;$Z300,"O","U"))</f>
        <v>T</v>
      </c>
      <c r="Z300" s="42">
        <v>56</v>
      </c>
      <c r="AA300" t="str">
        <f t="shared" si="153"/>
        <v>CLE/DET</v>
      </c>
    </row>
    <row r="301" spans="1:27" ht="17.100000000000001" x14ac:dyDescent="0.45">
      <c r="A301" s="42">
        <v>191204</v>
      </c>
      <c r="B301" s="1">
        <v>0.375</v>
      </c>
      <c r="C301" t="s">
        <v>338</v>
      </c>
      <c r="D301" s="5" t="s">
        <v>333</v>
      </c>
      <c r="E301" s="42">
        <v>26</v>
      </c>
      <c r="F301" s="42">
        <v>28</v>
      </c>
      <c r="G301" s="42">
        <v>34</v>
      </c>
      <c r="H301" s="42">
        <v>32</v>
      </c>
      <c r="I301" s="42"/>
      <c r="J301" s="42">
        <v>32</v>
      </c>
      <c r="K301" s="42">
        <v>36</v>
      </c>
      <c r="L301" s="42">
        <v>29</v>
      </c>
      <c r="M301" s="42">
        <v>30</v>
      </c>
      <c r="O301" s="42">
        <f t="shared" si="174"/>
        <v>120</v>
      </c>
      <c r="P301" s="42">
        <f t="shared" si="175"/>
        <v>127</v>
      </c>
      <c r="Q301" s="42" t="str">
        <f t="shared" si="176"/>
        <v>HL</v>
      </c>
      <c r="R301" s="42" t="str">
        <f t="shared" si="177"/>
        <v>HL</v>
      </c>
      <c r="S301" s="42" t="str">
        <f t="shared" si="178"/>
        <v>HW</v>
      </c>
      <c r="T301" s="42" t="str">
        <f t="shared" si="179"/>
        <v>HW</v>
      </c>
      <c r="U301" s="42" t="str">
        <f t="shared" si="180"/>
        <v>U</v>
      </c>
      <c r="V301" s="42" t="str">
        <f t="shared" si="181"/>
        <v>O</v>
      </c>
      <c r="W301" s="42" t="str">
        <f t="shared" si="182"/>
        <v>O</v>
      </c>
      <c r="X301" s="42" t="str">
        <f t="shared" si="183"/>
        <v>O</v>
      </c>
      <c r="Z301" s="42">
        <v>58.5</v>
      </c>
      <c r="AA301" t="str">
        <f t="shared" si="153"/>
        <v>WAS/ORL</v>
      </c>
    </row>
    <row r="302" spans="1:27" ht="17.100000000000001" x14ac:dyDescent="0.45">
      <c r="A302" s="42">
        <v>191204</v>
      </c>
      <c r="B302" s="1">
        <v>0.39583333333333331</v>
      </c>
      <c r="C302" t="s">
        <v>329</v>
      </c>
      <c r="D302" s="5" t="s">
        <v>328</v>
      </c>
      <c r="E302" s="42">
        <v>24</v>
      </c>
      <c r="F302" s="42">
        <v>29</v>
      </c>
      <c r="G302" s="42">
        <v>22</v>
      </c>
      <c r="H302" s="42">
        <v>22</v>
      </c>
      <c r="I302" s="42"/>
      <c r="J302" s="42">
        <v>24</v>
      </c>
      <c r="K302" s="42">
        <v>35</v>
      </c>
      <c r="L302" s="42">
        <v>25</v>
      </c>
      <c r="M302" s="42">
        <v>34</v>
      </c>
      <c r="O302" s="42">
        <f t="shared" si="174"/>
        <v>97</v>
      </c>
      <c r="P302" s="42">
        <f t="shared" si="175"/>
        <v>118</v>
      </c>
      <c r="Q302" s="42" t="str">
        <f t="shared" si="176"/>
        <v>TT</v>
      </c>
      <c r="R302" s="42" t="str">
        <f t="shared" si="177"/>
        <v>HL</v>
      </c>
      <c r="S302" s="42" t="str">
        <f t="shared" si="178"/>
        <v>HL</v>
      </c>
      <c r="T302" s="42" t="str">
        <f t="shared" si="179"/>
        <v>HL</v>
      </c>
      <c r="U302" s="42" t="str">
        <f t="shared" si="180"/>
        <v>U</v>
      </c>
      <c r="V302" s="42" t="str">
        <f t="shared" si="181"/>
        <v>O</v>
      </c>
      <c r="W302" s="42" t="str">
        <f t="shared" si="182"/>
        <v>U</v>
      </c>
      <c r="X302" s="42" t="str">
        <f t="shared" si="183"/>
        <v>U</v>
      </c>
      <c r="Z302" s="42">
        <v>60.5</v>
      </c>
      <c r="AA302" t="str">
        <f t="shared" si="153"/>
        <v>NO/DAL</v>
      </c>
    </row>
    <row r="303" spans="1:27" ht="17.100000000000001" x14ac:dyDescent="0.45">
      <c r="A303" s="42">
        <v>191204</v>
      </c>
      <c r="B303" s="1">
        <v>0.39583333333333331</v>
      </c>
      <c r="C303" s="11" t="s">
        <v>335</v>
      </c>
      <c r="D303" s="11" t="s">
        <v>322</v>
      </c>
      <c r="E303" s="42">
        <v>23</v>
      </c>
      <c r="F303" s="42">
        <v>30</v>
      </c>
      <c r="G303" s="42">
        <v>28</v>
      </c>
      <c r="H303" s="42">
        <v>27</v>
      </c>
      <c r="I303" s="42"/>
      <c r="J303" s="42">
        <v>32</v>
      </c>
      <c r="K303" s="42">
        <v>26</v>
      </c>
      <c r="L303" s="42">
        <v>25</v>
      </c>
      <c r="M303" s="42">
        <v>25</v>
      </c>
      <c r="O303" s="42">
        <f t="shared" si="174"/>
        <v>108</v>
      </c>
      <c r="P303" s="42">
        <f t="shared" si="175"/>
        <v>108</v>
      </c>
      <c r="Q303" s="42" t="str">
        <f t="shared" si="176"/>
        <v>HL</v>
      </c>
      <c r="R303" s="42" t="str">
        <f t="shared" si="177"/>
        <v>HW</v>
      </c>
      <c r="S303" s="42" t="str">
        <f t="shared" si="178"/>
        <v>HW</v>
      </c>
      <c r="T303" s="42" t="str">
        <f t="shared" si="179"/>
        <v>HW</v>
      </c>
      <c r="U303" s="42" t="str">
        <f t="shared" si="180"/>
        <v>T</v>
      </c>
      <c r="V303" s="42" t="str">
        <f t="shared" si="181"/>
        <v>O</v>
      </c>
      <c r="W303" s="42" t="str">
        <f t="shared" si="182"/>
        <v>U</v>
      </c>
      <c r="X303" s="42" t="str">
        <f t="shared" si="183"/>
        <v>U</v>
      </c>
      <c r="Z303" s="42">
        <v>55</v>
      </c>
      <c r="AA303" t="str">
        <f t="shared" si="153"/>
        <v>TOR/MIA</v>
      </c>
    </row>
    <row r="304" spans="1:27" ht="17.100000000000001" x14ac:dyDescent="0.45">
      <c r="A304" s="42">
        <v>191204</v>
      </c>
      <c r="B304" s="1">
        <v>0.4375</v>
      </c>
      <c r="C304" t="s">
        <v>332</v>
      </c>
      <c r="D304" s="5" t="s">
        <v>348</v>
      </c>
      <c r="E304" s="42">
        <v>27</v>
      </c>
      <c r="F304" s="42">
        <v>32</v>
      </c>
      <c r="G304" s="42">
        <v>22</v>
      </c>
      <c r="H304" s="42">
        <v>34</v>
      </c>
      <c r="I304" s="42">
        <v>20</v>
      </c>
      <c r="J304" s="42">
        <v>25</v>
      </c>
      <c r="K304" s="42">
        <v>38</v>
      </c>
      <c r="L304" s="42">
        <v>34</v>
      </c>
      <c r="M304" s="42">
        <v>18</v>
      </c>
      <c r="N304" s="42">
        <v>18</v>
      </c>
      <c r="O304" s="42">
        <f t="shared" si="174"/>
        <v>135</v>
      </c>
      <c r="P304" s="42">
        <f t="shared" si="175"/>
        <v>133</v>
      </c>
      <c r="Q304" s="42" t="str">
        <f t="shared" si="176"/>
        <v>HW</v>
      </c>
      <c r="R304" s="42" t="str">
        <f t="shared" si="177"/>
        <v>HL</v>
      </c>
      <c r="S304" s="42" t="str">
        <f t="shared" si="178"/>
        <v>HL</v>
      </c>
      <c r="T304" s="42" t="str">
        <f t="shared" si="179"/>
        <v>HW</v>
      </c>
      <c r="U304" s="42" t="str">
        <f t="shared" si="180"/>
        <v>U</v>
      </c>
      <c r="V304" s="42" t="str">
        <f t="shared" si="181"/>
        <v>O</v>
      </c>
      <c r="W304" s="42" t="str">
        <f t="shared" si="182"/>
        <v>U</v>
      </c>
      <c r="X304" s="42" t="str">
        <f t="shared" si="183"/>
        <v>U</v>
      </c>
      <c r="Z304" s="42">
        <v>60</v>
      </c>
      <c r="AA304" t="str">
        <f t="shared" si="153"/>
        <v>SAS/HOU</v>
      </c>
    </row>
    <row r="305" spans="1:27" ht="17.100000000000001" x14ac:dyDescent="0.45">
      <c r="A305" s="42">
        <v>191204</v>
      </c>
      <c r="B305" s="1">
        <v>0.45833333333333331</v>
      </c>
      <c r="C305" s="13" t="s">
        <v>349</v>
      </c>
      <c r="D305" s="11" t="s">
        <v>327</v>
      </c>
      <c r="E305" s="42">
        <v>24</v>
      </c>
      <c r="F305" s="42">
        <v>25</v>
      </c>
      <c r="G305" s="42">
        <v>27</v>
      </c>
      <c r="H305" s="42">
        <v>20</v>
      </c>
      <c r="I305" s="42"/>
      <c r="J305" s="42">
        <v>28</v>
      </c>
      <c r="K305" s="42">
        <v>32</v>
      </c>
      <c r="L305" s="42">
        <v>24</v>
      </c>
      <c r="M305" s="42">
        <v>21</v>
      </c>
      <c r="O305" s="42">
        <f t="shared" si="174"/>
        <v>96</v>
      </c>
      <c r="P305" s="42">
        <f t="shared" si="175"/>
        <v>105</v>
      </c>
      <c r="Q305" s="42" t="str">
        <f t="shared" si="176"/>
        <v>HL</v>
      </c>
      <c r="R305" s="42" t="str">
        <f t="shared" si="177"/>
        <v>HL</v>
      </c>
      <c r="S305" s="42" t="str">
        <f t="shared" si="178"/>
        <v>HW</v>
      </c>
      <c r="T305" s="42" t="str">
        <f t="shared" si="179"/>
        <v>HL</v>
      </c>
      <c r="U305" s="42" t="str">
        <f t="shared" si="180"/>
        <v>U</v>
      </c>
      <c r="V305" s="42" t="str">
        <f t="shared" si="181"/>
        <v>O</v>
      </c>
      <c r="W305" s="42" t="str">
        <f t="shared" si="182"/>
        <v>U</v>
      </c>
      <c r="X305" s="42" t="str">
        <f t="shared" si="183"/>
        <v>U</v>
      </c>
      <c r="Z305" s="42">
        <v>54</v>
      </c>
      <c r="AA305" t="str">
        <f t="shared" si="153"/>
        <v>DEN/LAL</v>
      </c>
    </row>
    <row r="306" spans="1:27" ht="17.100000000000001" x14ac:dyDescent="0.45">
      <c r="A306" s="42">
        <v>191204</v>
      </c>
      <c r="B306" s="1">
        <v>0.5</v>
      </c>
      <c r="C306" t="s">
        <v>337</v>
      </c>
      <c r="D306" s="5" t="s">
        <v>350</v>
      </c>
      <c r="E306" s="42">
        <v>29</v>
      </c>
      <c r="F306" s="42">
        <v>33</v>
      </c>
      <c r="G306" s="42">
        <v>27</v>
      </c>
      <c r="H306" s="42">
        <v>28</v>
      </c>
      <c r="I306" s="42"/>
      <c r="J306" s="42">
        <v>30</v>
      </c>
      <c r="K306" s="42">
        <v>29</v>
      </c>
      <c r="L306" s="42">
        <v>17</v>
      </c>
      <c r="M306" s="42">
        <v>21</v>
      </c>
      <c r="O306" s="42">
        <f t="shared" si="174"/>
        <v>117</v>
      </c>
      <c r="P306" s="42">
        <f t="shared" si="175"/>
        <v>97</v>
      </c>
      <c r="Q306" s="42" t="str">
        <f t="shared" si="176"/>
        <v>HL</v>
      </c>
      <c r="R306" s="42" t="str">
        <f t="shared" si="177"/>
        <v>HW</v>
      </c>
      <c r="S306" s="42" t="str">
        <f t="shared" si="178"/>
        <v>HW</v>
      </c>
      <c r="T306" s="42" t="str">
        <f t="shared" si="179"/>
        <v>HW</v>
      </c>
      <c r="U306" s="42" t="str">
        <f t="shared" si="180"/>
        <v>O</v>
      </c>
      <c r="V306" s="42" t="str">
        <f t="shared" si="181"/>
        <v>O</v>
      </c>
      <c r="W306" s="42" t="str">
        <f t="shared" si="182"/>
        <v>U</v>
      </c>
      <c r="X306" s="42" t="str">
        <f t="shared" si="183"/>
        <v>U</v>
      </c>
      <c r="Z306" s="42">
        <v>58.5</v>
      </c>
      <c r="AA306" t="str">
        <f t="shared" si="153"/>
        <v>LAC/POR</v>
      </c>
    </row>
    <row r="307" spans="1:27" ht="17.100000000000001" x14ac:dyDescent="0.45">
      <c r="A307" s="42">
        <v>191205</v>
      </c>
      <c r="B307" s="1">
        <v>0.375</v>
      </c>
      <c r="C307" s="14" t="s">
        <v>351</v>
      </c>
      <c r="D307" s="43" t="s">
        <v>352</v>
      </c>
      <c r="E307" s="42">
        <v>24</v>
      </c>
      <c r="F307" s="42">
        <v>24</v>
      </c>
      <c r="G307" s="42">
        <v>24</v>
      </c>
      <c r="H307" s="42">
        <v>31</v>
      </c>
      <c r="I307" s="42"/>
      <c r="J307" s="42">
        <v>22</v>
      </c>
      <c r="K307" s="42">
        <v>37</v>
      </c>
      <c r="L307" s="42">
        <v>33</v>
      </c>
      <c r="M307" s="42">
        <v>35</v>
      </c>
      <c r="O307" s="42">
        <f t="shared" ref="O307:O320" si="184">SUM(E307:I307)</f>
        <v>103</v>
      </c>
      <c r="P307" s="42">
        <f t="shared" ref="P307:P320" si="185">SUM(J307:N307)</f>
        <v>127</v>
      </c>
      <c r="Q307" s="42" t="str">
        <f t="shared" ref="Q307:Q320" si="186">IF(E307=J307,"TT",IF(E307&gt;J307,"HW","HL"))</f>
        <v>HW</v>
      </c>
      <c r="R307" s="42" t="str">
        <f t="shared" ref="R307:R320" si="187">IF(F307=K307,"TT",IF(F307&gt;K307,"HW","HL"))</f>
        <v>HL</v>
      </c>
      <c r="S307" s="42" t="str">
        <f t="shared" ref="S307:S320" si="188">IF(G307=L307,"TT",IF(G307&gt;L307,"HW","HL"))</f>
        <v>HL</v>
      </c>
      <c r="T307" s="42" t="str">
        <f t="shared" ref="T307:T320" si="189">IF(H307=M307,"TT",IF(H307&gt;M307,"HW","HL"))</f>
        <v>HL</v>
      </c>
      <c r="U307" s="42" t="str">
        <f t="shared" ref="U307:U320" si="190">IF(SUM(E307,J307)=$Z307,"T",IF(SUM(E307,J307)&gt;$Z307,"O","U"))</f>
        <v>U</v>
      </c>
      <c r="V307" s="42" t="str">
        <f t="shared" ref="V307:V320" si="191">IF(SUM(F307,K307)=$Z307,"T",IF(SUM(F307,K307)&gt;$Z307,"O","U"))</f>
        <v>O</v>
      </c>
      <c r="W307" s="42" t="str">
        <f t="shared" ref="W307:W320" si="192">IF(SUM(G307,L307)=$Z307,"T",IF(SUM(G307,L307)&gt;$Z307,"O","U"))</f>
        <v>O</v>
      </c>
      <c r="X307" s="42" t="str">
        <f t="shared" ref="X307:X320" si="193">IF(SUM(H307,M307)=$Z307,"T",IF(SUM(H307,M307)&gt;$Z307,"O","U"))</f>
        <v>O</v>
      </c>
      <c r="Z307">
        <v>54.5</v>
      </c>
      <c r="AA307" t="str">
        <f t="shared" si="153"/>
        <v>DET/MIL</v>
      </c>
    </row>
    <row r="308" spans="1:27" ht="17.100000000000001" x14ac:dyDescent="0.45">
      <c r="A308" s="42">
        <v>191205</v>
      </c>
      <c r="B308" s="1">
        <v>0.375</v>
      </c>
      <c r="C308" s="11" t="s">
        <v>353</v>
      </c>
      <c r="D308" s="5" t="s">
        <v>354</v>
      </c>
      <c r="E308" s="42">
        <v>31</v>
      </c>
      <c r="F308" s="42">
        <v>34</v>
      </c>
      <c r="G308" s="42">
        <v>38</v>
      </c>
      <c r="H308" s="42">
        <v>25</v>
      </c>
      <c r="I308" s="42"/>
      <c r="J308" s="42">
        <v>37</v>
      </c>
      <c r="K308" s="42">
        <v>21</v>
      </c>
      <c r="L308" s="42">
        <v>28</v>
      </c>
      <c r="M308" s="42">
        <v>28</v>
      </c>
      <c r="O308" s="42">
        <f t="shared" si="184"/>
        <v>128</v>
      </c>
      <c r="P308" s="42">
        <f t="shared" si="185"/>
        <v>114</v>
      </c>
      <c r="Q308" s="42" t="str">
        <f t="shared" si="186"/>
        <v>HL</v>
      </c>
      <c r="R308" s="42" t="str">
        <f t="shared" si="187"/>
        <v>HW</v>
      </c>
      <c r="S308" s="42" t="str">
        <f t="shared" si="188"/>
        <v>HW</v>
      </c>
      <c r="T308" s="42" t="str">
        <f t="shared" si="189"/>
        <v>HL</v>
      </c>
      <c r="U308" s="42" t="str">
        <f t="shared" si="190"/>
        <v>O</v>
      </c>
      <c r="V308" s="42" t="str">
        <f t="shared" si="191"/>
        <v>O</v>
      </c>
      <c r="W308" s="42" t="str">
        <f t="shared" si="192"/>
        <v>O</v>
      </c>
      <c r="X308" s="42" t="str">
        <f t="shared" si="193"/>
        <v>O</v>
      </c>
      <c r="Z308">
        <v>52</v>
      </c>
      <c r="AA308" t="str">
        <f t="shared" si="153"/>
        <v>ORL/PHO</v>
      </c>
    </row>
    <row r="309" spans="1:27" ht="17.100000000000001" x14ac:dyDescent="0.45">
      <c r="A309" s="42">
        <v>191205</v>
      </c>
      <c r="B309" s="1">
        <v>0.375</v>
      </c>
      <c r="C309" s="13" t="s">
        <v>355</v>
      </c>
      <c r="D309" s="13" t="s">
        <v>356</v>
      </c>
      <c r="E309" s="42">
        <v>28</v>
      </c>
      <c r="F309" s="42">
        <v>30</v>
      </c>
      <c r="G309" s="42">
        <v>28</v>
      </c>
      <c r="H309" s="42">
        <v>20</v>
      </c>
      <c r="I309" s="42"/>
      <c r="J309" s="42">
        <v>20</v>
      </c>
      <c r="K309" s="42">
        <v>34</v>
      </c>
      <c r="L309" s="42">
        <v>22</v>
      </c>
      <c r="M309" s="42">
        <v>15</v>
      </c>
      <c r="O309" s="42">
        <f t="shared" si="184"/>
        <v>106</v>
      </c>
      <c r="P309" s="42">
        <f t="shared" si="185"/>
        <v>91</v>
      </c>
      <c r="Q309" s="42" t="str">
        <f t="shared" si="186"/>
        <v>HW</v>
      </c>
      <c r="R309" s="42" t="str">
        <f t="shared" si="187"/>
        <v>HL</v>
      </c>
      <c r="S309" s="42" t="str">
        <f t="shared" si="188"/>
        <v>HW</v>
      </c>
      <c r="T309" s="42" t="str">
        <f t="shared" si="189"/>
        <v>HW</v>
      </c>
      <c r="U309" s="42" t="str">
        <f t="shared" si="190"/>
        <v>U</v>
      </c>
      <c r="V309" s="42" t="str">
        <f t="shared" si="191"/>
        <v>O</v>
      </c>
      <c r="W309" s="42" t="str">
        <f t="shared" si="192"/>
        <v>U</v>
      </c>
      <c r="X309" s="42" t="str">
        <f t="shared" si="193"/>
        <v>U</v>
      </c>
      <c r="Z309">
        <v>55</v>
      </c>
      <c r="AA309" t="str">
        <f t="shared" si="153"/>
        <v>CHA/GS</v>
      </c>
    </row>
    <row r="310" spans="1:27" ht="17.100000000000001" x14ac:dyDescent="0.45">
      <c r="A310" s="42">
        <v>191205</v>
      </c>
      <c r="B310" s="1">
        <v>0.39583333333333331</v>
      </c>
      <c r="C310" s="11" t="s">
        <v>357</v>
      </c>
      <c r="D310" s="11" t="s">
        <v>358</v>
      </c>
      <c r="E310" s="42">
        <v>26</v>
      </c>
      <c r="F310" s="42">
        <v>21</v>
      </c>
      <c r="G310" s="42">
        <v>35</v>
      </c>
      <c r="H310" s="42">
        <v>36</v>
      </c>
      <c r="I310" s="42"/>
      <c r="J310" s="42">
        <v>22</v>
      </c>
      <c r="K310" s="42">
        <v>34</v>
      </c>
      <c r="L310" s="42">
        <v>35</v>
      </c>
      <c r="M310" s="42">
        <v>39</v>
      </c>
      <c r="O310" s="42">
        <f t="shared" si="184"/>
        <v>118</v>
      </c>
      <c r="P310" s="42">
        <f t="shared" si="185"/>
        <v>130</v>
      </c>
      <c r="Q310" s="42" t="str">
        <f t="shared" si="186"/>
        <v>HW</v>
      </c>
      <c r="R310" s="42" t="str">
        <f t="shared" si="187"/>
        <v>HL</v>
      </c>
      <c r="S310" s="42" t="str">
        <f t="shared" si="188"/>
        <v>TT</v>
      </c>
      <c r="T310" s="42" t="str">
        <f t="shared" si="189"/>
        <v>HL</v>
      </c>
      <c r="U310" s="42" t="str">
        <f t="shared" si="190"/>
        <v>U</v>
      </c>
      <c r="V310" s="42" t="str">
        <f t="shared" si="191"/>
        <v>U</v>
      </c>
      <c r="W310" s="42" t="str">
        <f t="shared" si="192"/>
        <v>O</v>
      </c>
      <c r="X310" s="42" t="str">
        <f t="shared" si="193"/>
        <v>O</v>
      </c>
      <c r="Z310">
        <v>55.5</v>
      </c>
      <c r="AA310" t="str">
        <f t="shared" si="153"/>
        <v>ATL/BKN</v>
      </c>
    </row>
    <row r="311" spans="1:27" ht="17.100000000000001" x14ac:dyDescent="0.45">
      <c r="A311" s="42">
        <v>191205</v>
      </c>
      <c r="B311" s="1">
        <v>0.39583333333333331</v>
      </c>
      <c r="C311" t="s">
        <v>359</v>
      </c>
      <c r="D311" s="5" t="s">
        <v>360</v>
      </c>
      <c r="E311" s="42">
        <v>20</v>
      </c>
      <c r="F311" s="42">
        <v>32</v>
      </c>
      <c r="G311" s="42">
        <v>30</v>
      </c>
      <c r="H311" s="42">
        <v>30</v>
      </c>
      <c r="I311" s="42"/>
      <c r="J311" s="42">
        <v>28</v>
      </c>
      <c r="K311" s="42">
        <v>16</v>
      </c>
      <c r="L311" s="42">
        <v>25</v>
      </c>
      <c r="M311" s="42">
        <v>24</v>
      </c>
      <c r="O311" s="42">
        <f t="shared" si="184"/>
        <v>112</v>
      </c>
      <c r="P311" s="42">
        <f t="shared" si="185"/>
        <v>93</v>
      </c>
      <c r="Q311" s="42" t="str">
        <f t="shared" si="186"/>
        <v>HL</v>
      </c>
      <c r="R311" s="42" t="str">
        <f t="shared" si="187"/>
        <v>HW</v>
      </c>
      <c r="S311" s="42" t="str">
        <f t="shared" si="188"/>
        <v>HW</v>
      </c>
      <c r="T311" s="42" t="str">
        <f t="shared" si="189"/>
        <v>HW</v>
      </c>
      <c r="U311" s="42" t="str">
        <f t="shared" si="190"/>
        <v>U</v>
      </c>
      <c r="V311" s="42" t="str">
        <f t="shared" si="191"/>
        <v>U</v>
      </c>
      <c r="W311" s="42" t="str">
        <f t="shared" si="192"/>
        <v>O</v>
      </c>
      <c r="X311" s="42" t="str">
        <f t="shared" si="193"/>
        <v>T</v>
      </c>
      <c r="Z311">
        <v>54</v>
      </c>
      <c r="AA311" t="str">
        <f t="shared" si="153"/>
        <v>BOS/MIA</v>
      </c>
    </row>
    <row r="312" spans="1:27" ht="17.100000000000001" x14ac:dyDescent="0.45">
      <c r="A312" s="42">
        <v>191205</v>
      </c>
      <c r="B312" s="1">
        <v>0.41666666666666669</v>
      </c>
      <c r="C312" s="5" t="s">
        <v>361</v>
      </c>
      <c r="D312" s="5" t="s">
        <v>362</v>
      </c>
      <c r="E312" s="42">
        <v>27</v>
      </c>
      <c r="F312" s="42">
        <v>23</v>
      </c>
      <c r="G312" s="42">
        <v>28</v>
      </c>
      <c r="H312" s="42">
        <v>28</v>
      </c>
      <c r="I312" s="42"/>
      <c r="J312" s="42">
        <v>20</v>
      </c>
      <c r="K312" s="42">
        <v>15</v>
      </c>
      <c r="L312" s="42">
        <v>29</v>
      </c>
      <c r="M312" s="42">
        <v>35</v>
      </c>
      <c r="O312" s="42">
        <f t="shared" si="184"/>
        <v>106</v>
      </c>
      <c r="P312" s="42">
        <f t="shared" si="185"/>
        <v>99</v>
      </c>
      <c r="Q312" s="42" t="str">
        <f t="shared" si="186"/>
        <v>HW</v>
      </c>
      <c r="R312" s="42" t="str">
        <f t="shared" si="187"/>
        <v>HW</v>
      </c>
      <c r="S312" s="42" t="str">
        <f t="shared" si="188"/>
        <v>HL</v>
      </c>
      <c r="T312" s="42" t="str">
        <f t="shared" si="189"/>
        <v>HL</v>
      </c>
      <c r="U312" s="42" t="str">
        <f t="shared" si="190"/>
        <v>U</v>
      </c>
      <c r="V312" s="42" t="str">
        <f t="shared" si="191"/>
        <v>U</v>
      </c>
      <c r="W312" s="42" t="str">
        <f t="shared" si="192"/>
        <v>O</v>
      </c>
      <c r="X312" s="42" t="str">
        <f t="shared" si="193"/>
        <v>O</v>
      </c>
      <c r="Z312">
        <v>54</v>
      </c>
      <c r="AA312" t="str">
        <f t="shared" si="153"/>
        <v>CHI/MEM</v>
      </c>
    </row>
    <row r="313" spans="1:27" ht="17.100000000000001" x14ac:dyDescent="0.45">
      <c r="A313" s="42">
        <v>191205</v>
      </c>
      <c r="B313" s="1">
        <v>0.41666666666666669</v>
      </c>
      <c r="C313" s="11" t="s">
        <v>363</v>
      </c>
      <c r="D313" s="13" t="s">
        <v>364</v>
      </c>
      <c r="E313" s="42">
        <v>29</v>
      </c>
      <c r="F313" s="42">
        <v>21</v>
      </c>
      <c r="G313" s="42">
        <v>28</v>
      </c>
      <c r="H313" s="42">
        <v>22</v>
      </c>
      <c r="I313" s="42"/>
      <c r="J313" s="42">
        <v>26</v>
      </c>
      <c r="K313" s="42">
        <v>23</v>
      </c>
      <c r="L313" s="42">
        <v>30</v>
      </c>
      <c r="M313" s="42">
        <v>28</v>
      </c>
      <c r="O313" s="42">
        <f t="shared" si="184"/>
        <v>100</v>
      </c>
      <c r="P313" s="42">
        <f t="shared" si="185"/>
        <v>107</v>
      </c>
      <c r="Q313" s="42" t="str">
        <f t="shared" si="186"/>
        <v>HW</v>
      </c>
      <c r="R313" s="42" t="str">
        <f t="shared" si="187"/>
        <v>HL</v>
      </c>
      <c r="S313" s="42" t="str">
        <f t="shared" si="188"/>
        <v>HL</v>
      </c>
      <c r="T313" s="42" t="str">
        <f t="shared" si="189"/>
        <v>HL</v>
      </c>
      <c r="U313" s="42" t="str">
        <f t="shared" si="190"/>
        <v>O</v>
      </c>
      <c r="V313" s="42" t="str">
        <f t="shared" si="191"/>
        <v>U</v>
      </c>
      <c r="W313" s="42" t="str">
        <f t="shared" si="192"/>
        <v>O</v>
      </c>
      <c r="X313" s="42" t="str">
        <f t="shared" si="193"/>
        <v>U</v>
      </c>
      <c r="Z313">
        <v>54</v>
      </c>
      <c r="AA313" t="str">
        <f t="shared" si="153"/>
        <v>OKC/IND</v>
      </c>
    </row>
    <row r="314" spans="1:27" ht="17.100000000000001" x14ac:dyDescent="0.45">
      <c r="A314" s="42">
        <v>191205</v>
      </c>
      <c r="B314" s="1">
        <v>0.4375</v>
      </c>
      <c r="C314" t="s">
        <v>365</v>
      </c>
      <c r="D314" s="5" t="s">
        <v>366</v>
      </c>
      <c r="E314" s="42">
        <v>30</v>
      </c>
      <c r="F314" s="42">
        <v>23</v>
      </c>
      <c r="G314" s="42">
        <v>27</v>
      </c>
      <c r="H314" s="42">
        <v>41</v>
      </c>
      <c r="I314" s="42"/>
      <c r="J314" s="42">
        <v>25</v>
      </c>
      <c r="K314" s="42">
        <v>31</v>
      </c>
      <c r="L314" s="42">
        <v>28</v>
      </c>
      <c r="M314" s="42">
        <v>30</v>
      </c>
      <c r="O314" s="42">
        <f t="shared" si="184"/>
        <v>121</v>
      </c>
      <c r="P314" s="42">
        <f t="shared" si="185"/>
        <v>114</v>
      </c>
      <c r="Q314" s="42" t="str">
        <f t="shared" si="186"/>
        <v>HW</v>
      </c>
      <c r="R314" s="42" t="str">
        <f t="shared" si="187"/>
        <v>HL</v>
      </c>
      <c r="S314" s="42" t="str">
        <f t="shared" si="188"/>
        <v>HL</v>
      </c>
      <c r="T314" s="42" t="str">
        <f t="shared" si="189"/>
        <v>HW</v>
      </c>
      <c r="U314" s="42" t="str">
        <f t="shared" si="190"/>
        <v>U</v>
      </c>
      <c r="V314" s="42" t="str">
        <f t="shared" si="191"/>
        <v>U</v>
      </c>
      <c r="W314" s="42" t="str">
        <f t="shared" si="192"/>
        <v>U</v>
      </c>
      <c r="X314" s="42" t="str">
        <f t="shared" si="193"/>
        <v>O</v>
      </c>
      <c r="Z314">
        <v>59</v>
      </c>
      <c r="AA314" t="str">
        <f t="shared" si="153"/>
        <v>DAL/MIN</v>
      </c>
    </row>
    <row r="315" spans="1:27" ht="17.100000000000001" x14ac:dyDescent="0.45">
      <c r="A315" s="42">
        <v>191205</v>
      </c>
      <c r="B315" s="1">
        <v>0.45833333333333331</v>
      </c>
      <c r="C315" t="s">
        <v>367</v>
      </c>
      <c r="D315" s="5" t="s">
        <v>368</v>
      </c>
      <c r="E315" s="42">
        <v>26</v>
      </c>
      <c r="F315" s="42">
        <v>21</v>
      </c>
      <c r="G315" s="42">
        <v>28</v>
      </c>
      <c r="H315" s="42">
        <v>21</v>
      </c>
      <c r="I315" s="42"/>
      <c r="J315" s="42">
        <v>34</v>
      </c>
      <c r="K315" s="42">
        <v>31</v>
      </c>
      <c r="L315" s="42">
        <v>29</v>
      </c>
      <c r="M315" s="42">
        <v>27</v>
      </c>
      <c r="O315" s="42">
        <f t="shared" si="184"/>
        <v>96</v>
      </c>
      <c r="P315" s="42">
        <f t="shared" si="185"/>
        <v>121</v>
      </c>
      <c r="Q315" s="42" t="str">
        <f t="shared" si="186"/>
        <v>HL</v>
      </c>
      <c r="R315" s="42" t="str">
        <f t="shared" si="187"/>
        <v>HL</v>
      </c>
      <c r="S315" s="42" t="str">
        <f t="shared" si="188"/>
        <v>HL</v>
      </c>
      <c r="T315" s="42" t="str">
        <f t="shared" si="189"/>
        <v>HL</v>
      </c>
      <c r="U315" s="42" t="str">
        <f t="shared" si="190"/>
        <v>O</v>
      </c>
      <c r="V315" s="42" t="str">
        <f t="shared" si="191"/>
        <v>U</v>
      </c>
      <c r="W315" s="42" t="str">
        <f t="shared" si="192"/>
        <v>O</v>
      </c>
      <c r="X315" s="42" t="str">
        <f t="shared" si="193"/>
        <v>U</v>
      </c>
      <c r="Z315">
        <v>54.5</v>
      </c>
      <c r="AA315" t="str">
        <f t="shared" si="153"/>
        <v>UTA/LAL</v>
      </c>
    </row>
    <row r="316" spans="1:27" ht="17.100000000000001" x14ac:dyDescent="0.45">
      <c r="A316" s="42">
        <v>191205</v>
      </c>
      <c r="B316" s="1">
        <v>0.5</v>
      </c>
      <c r="C316" t="s">
        <v>369</v>
      </c>
      <c r="D316" s="5" t="s">
        <v>370</v>
      </c>
      <c r="E316" s="42">
        <v>30</v>
      </c>
      <c r="F316" s="42">
        <v>36</v>
      </c>
      <c r="G316" s="42">
        <v>34</v>
      </c>
      <c r="H316" s="42">
        <v>27</v>
      </c>
      <c r="I316" s="42"/>
      <c r="J316" s="42">
        <v>35</v>
      </c>
      <c r="K316" s="42">
        <v>29</v>
      </c>
      <c r="L316" s="42">
        <v>31</v>
      </c>
      <c r="M316" s="42">
        <v>21</v>
      </c>
      <c r="O316" s="42">
        <f t="shared" si="184"/>
        <v>127</v>
      </c>
      <c r="P316" s="42">
        <f t="shared" si="185"/>
        <v>116</v>
      </c>
      <c r="Q316" s="42" t="str">
        <f t="shared" si="186"/>
        <v>HL</v>
      </c>
      <c r="R316" s="42" t="str">
        <f t="shared" si="187"/>
        <v>HW</v>
      </c>
      <c r="S316" s="42" t="str">
        <f t="shared" si="188"/>
        <v>HW</v>
      </c>
      <c r="T316" s="42" t="str">
        <f t="shared" si="189"/>
        <v>HW</v>
      </c>
      <c r="U316" s="42" t="str">
        <f t="shared" si="190"/>
        <v>O</v>
      </c>
      <c r="V316" s="42" t="str">
        <f t="shared" si="191"/>
        <v>O</v>
      </c>
      <c r="W316" s="42" t="str">
        <f t="shared" si="192"/>
        <v>O</v>
      </c>
      <c r="X316" s="42" t="str">
        <f t="shared" si="193"/>
        <v>U</v>
      </c>
      <c r="Z316">
        <v>55.5</v>
      </c>
      <c r="AA316" t="str">
        <f t="shared" si="153"/>
        <v>POR/SAC</v>
      </c>
    </row>
    <row r="317" spans="1:27" ht="17.100000000000001" x14ac:dyDescent="0.45">
      <c r="A317" s="42">
        <v>191206</v>
      </c>
      <c r="B317" s="1">
        <v>0.375</v>
      </c>
      <c r="C317" t="s">
        <v>34</v>
      </c>
      <c r="D317" s="5" t="s">
        <v>371</v>
      </c>
      <c r="E317" s="42">
        <v>25</v>
      </c>
      <c r="F317" s="42">
        <v>40</v>
      </c>
      <c r="G317" s="42">
        <v>26</v>
      </c>
      <c r="H317" s="42">
        <v>28</v>
      </c>
      <c r="I317" s="42"/>
      <c r="J317" s="42">
        <v>33</v>
      </c>
      <c r="K317" s="42">
        <v>22</v>
      </c>
      <c r="L317" s="42">
        <v>26</v>
      </c>
      <c r="M317" s="42">
        <v>32</v>
      </c>
      <c r="O317" s="42">
        <f t="shared" si="184"/>
        <v>119</v>
      </c>
      <c r="P317" s="42">
        <f t="shared" si="185"/>
        <v>113</v>
      </c>
      <c r="Q317" s="42" t="str">
        <f t="shared" si="186"/>
        <v>HL</v>
      </c>
      <c r="R317" s="42" t="str">
        <f t="shared" si="187"/>
        <v>HW</v>
      </c>
      <c r="S317" s="42" t="str">
        <f t="shared" si="188"/>
        <v>TT</v>
      </c>
      <c r="T317" s="42" t="str">
        <f t="shared" si="189"/>
        <v>HL</v>
      </c>
      <c r="U317" s="42" t="str">
        <f t="shared" si="190"/>
        <v>O</v>
      </c>
      <c r="V317" s="42" t="str">
        <f t="shared" si="191"/>
        <v>O</v>
      </c>
      <c r="W317" s="42" t="str">
        <f t="shared" si="192"/>
        <v>U</v>
      </c>
      <c r="X317" s="42" t="str">
        <f t="shared" si="193"/>
        <v>O</v>
      </c>
      <c r="Z317">
        <v>57.5</v>
      </c>
      <c r="AA317" t="str">
        <f t="shared" si="153"/>
        <v>WAS/PHI</v>
      </c>
    </row>
    <row r="318" spans="1:27" ht="17.100000000000001" x14ac:dyDescent="0.45">
      <c r="A318" s="42">
        <v>191206</v>
      </c>
      <c r="B318" s="1">
        <v>0.39583333333333331</v>
      </c>
      <c r="C318" t="s">
        <v>372</v>
      </c>
      <c r="D318" s="5" t="s">
        <v>373</v>
      </c>
      <c r="E318" s="42">
        <v>27</v>
      </c>
      <c r="F318" s="42">
        <v>18</v>
      </c>
      <c r="G318" s="42">
        <v>30</v>
      </c>
      <c r="H318" s="42">
        <v>17</v>
      </c>
      <c r="I318" s="42"/>
      <c r="J318" s="42">
        <v>33</v>
      </c>
      <c r="K318" s="42">
        <v>34</v>
      </c>
      <c r="L318" s="42">
        <v>31</v>
      </c>
      <c r="M318" s="42">
        <v>31</v>
      </c>
      <c r="O318" s="42">
        <f t="shared" si="184"/>
        <v>92</v>
      </c>
      <c r="P318" s="42">
        <f t="shared" si="185"/>
        <v>129</v>
      </c>
      <c r="Q318" s="42" t="str">
        <f t="shared" si="186"/>
        <v>HL</v>
      </c>
      <c r="R318" s="42" t="str">
        <f t="shared" si="187"/>
        <v>HL</v>
      </c>
      <c r="S318" s="42" t="str">
        <f t="shared" si="188"/>
        <v>HL</v>
      </c>
      <c r="T318" s="42" t="str">
        <f t="shared" si="189"/>
        <v>HL</v>
      </c>
      <c r="U318" s="42" t="str">
        <f t="shared" si="190"/>
        <v>O</v>
      </c>
      <c r="V318" s="42" t="str">
        <f t="shared" si="191"/>
        <v>U</v>
      </c>
      <c r="W318" s="42" t="str">
        <f t="shared" si="192"/>
        <v>O</v>
      </c>
      <c r="X318" s="42" t="str">
        <f t="shared" si="193"/>
        <v>U</v>
      </c>
      <c r="Z318">
        <v>52.5</v>
      </c>
      <c r="AA318" t="str">
        <f t="shared" si="153"/>
        <v>NYK/DEN</v>
      </c>
    </row>
    <row r="319" spans="1:27" ht="17.100000000000001" x14ac:dyDescent="0.45">
      <c r="A319" s="42">
        <v>191206</v>
      </c>
      <c r="B319" s="1">
        <v>0.39583333333333331</v>
      </c>
      <c r="C319" t="s">
        <v>374</v>
      </c>
      <c r="D319" s="5" t="s">
        <v>375</v>
      </c>
      <c r="E319" s="42">
        <v>28</v>
      </c>
      <c r="F319" s="42">
        <v>27</v>
      </c>
      <c r="G319" s="42">
        <v>33</v>
      </c>
      <c r="H319" s="42">
        <v>21</v>
      </c>
      <c r="I319" s="42"/>
      <c r="J319" s="42">
        <v>34</v>
      </c>
      <c r="K319" s="42">
        <v>29</v>
      </c>
      <c r="L319" s="42">
        <v>31</v>
      </c>
      <c r="M319" s="42">
        <v>25</v>
      </c>
      <c r="O319" s="42">
        <f t="shared" si="184"/>
        <v>109</v>
      </c>
      <c r="P319" s="42">
        <f t="shared" si="185"/>
        <v>119</v>
      </c>
      <c r="Q319" s="42" t="str">
        <f t="shared" si="186"/>
        <v>HL</v>
      </c>
      <c r="R319" s="42" t="str">
        <f t="shared" si="187"/>
        <v>HL</v>
      </c>
      <c r="S319" s="42" t="str">
        <f t="shared" si="188"/>
        <v>HW</v>
      </c>
      <c r="T319" s="42" t="str">
        <f t="shared" si="189"/>
        <v>HL</v>
      </c>
      <c r="U319" s="42" t="str">
        <f t="shared" si="190"/>
        <v>O</v>
      </c>
      <c r="V319" s="42" t="str">
        <f t="shared" si="191"/>
        <v>U</v>
      </c>
      <c r="W319" s="42" t="str">
        <f t="shared" si="192"/>
        <v>O</v>
      </c>
      <c r="X319" s="42" t="str">
        <f t="shared" si="193"/>
        <v>U</v>
      </c>
      <c r="Z319">
        <v>59</v>
      </c>
      <c r="AA319" t="str">
        <f t="shared" si="153"/>
        <v>TOR/HOU</v>
      </c>
    </row>
    <row r="320" spans="1:27" ht="17.100000000000001" x14ac:dyDescent="0.45">
      <c r="A320" s="42">
        <v>191206</v>
      </c>
      <c r="B320" s="1">
        <v>0.41666666666666669</v>
      </c>
      <c r="C320" t="s">
        <v>376</v>
      </c>
      <c r="D320" s="5" t="s">
        <v>377</v>
      </c>
      <c r="E320" s="42">
        <v>40</v>
      </c>
      <c r="F320" s="42">
        <v>30</v>
      </c>
      <c r="G320" s="42">
        <v>21</v>
      </c>
      <c r="H320" s="42">
        <v>34</v>
      </c>
      <c r="I320" s="42">
        <v>7</v>
      </c>
      <c r="J320" s="42">
        <v>38</v>
      </c>
      <c r="K320" s="42">
        <v>36</v>
      </c>
      <c r="L320" s="42">
        <v>33</v>
      </c>
      <c r="M320" s="42">
        <v>18</v>
      </c>
      <c r="N320" s="42">
        <v>14</v>
      </c>
      <c r="O320" s="42">
        <f t="shared" si="184"/>
        <v>132</v>
      </c>
      <c r="P320" s="42">
        <f t="shared" si="185"/>
        <v>139</v>
      </c>
      <c r="Q320" s="42" t="str">
        <f t="shared" si="186"/>
        <v>HW</v>
      </c>
      <c r="R320" s="42" t="str">
        <f t="shared" si="187"/>
        <v>HL</v>
      </c>
      <c r="S320" s="42" t="str">
        <f t="shared" si="188"/>
        <v>HL</v>
      </c>
      <c r="T320" s="42" t="str">
        <f t="shared" si="189"/>
        <v>HW</v>
      </c>
      <c r="U320" s="42" t="str">
        <f t="shared" si="190"/>
        <v>O</v>
      </c>
      <c r="V320" s="42" t="str">
        <f t="shared" si="191"/>
        <v>O</v>
      </c>
      <c r="W320" s="42" t="str">
        <f t="shared" si="192"/>
        <v>U</v>
      </c>
      <c r="X320" s="42" t="str">
        <f t="shared" si="193"/>
        <v>U</v>
      </c>
      <c r="Z320">
        <v>57.5</v>
      </c>
      <c r="AA320" t="str">
        <f t="shared" si="153"/>
        <v>NO/PHO</v>
      </c>
    </row>
    <row r="321" spans="1:27" ht="17.100000000000001" x14ac:dyDescent="0.45">
      <c r="A321" s="42">
        <v>191207</v>
      </c>
      <c r="B321" s="1">
        <v>0.375</v>
      </c>
      <c r="C321" t="s">
        <v>378</v>
      </c>
      <c r="D321" s="5" t="s">
        <v>379</v>
      </c>
      <c r="E321">
        <v>25</v>
      </c>
      <c r="F321">
        <v>22</v>
      </c>
      <c r="G321">
        <v>23</v>
      </c>
      <c r="H321">
        <v>17</v>
      </c>
      <c r="J321">
        <v>24</v>
      </c>
      <c r="K321">
        <v>28</v>
      </c>
      <c r="L321">
        <v>16</v>
      </c>
      <c r="M321">
        <v>25</v>
      </c>
      <c r="N321" s="2" t="s">
        <v>427</v>
      </c>
      <c r="O321" s="42">
        <f t="shared" ref="O321:O384" si="194">SUM(E321:I321)</f>
        <v>87</v>
      </c>
      <c r="P321" s="42">
        <f t="shared" ref="P321:P384" si="195">SUM(J321:N321)</f>
        <v>93</v>
      </c>
      <c r="Q321" s="42" t="str">
        <f t="shared" ref="Q321:Q384" si="196">IF(E321=J321,"TT",IF(E321&gt;J321,"HW","HL"))</f>
        <v>HW</v>
      </c>
      <c r="R321" s="42" t="str">
        <f t="shared" ref="R321:R384" si="197">IF(F321=K321,"TT",IF(F321&gt;K321,"HW","HL"))</f>
        <v>HL</v>
      </c>
      <c r="S321" s="42" t="str">
        <f t="shared" ref="S321:S384" si="198">IF(G321=L321,"TT",IF(G321&gt;L321,"HW","HL"))</f>
        <v>HW</v>
      </c>
      <c r="T321" s="42" t="str">
        <f t="shared" ref="T321:T384" si="199">IF(H321=M321,"TT",IF(H321&gt;M321,"HW","HL"))</f>
        <v>HL</v>
      </c>
      <c r="U321" s="42" t="str">
        <f t="shared" ref="U321:U384" si="200">IF(SUM(E321,J321)=$Z321,"T",IF(SUM(E321,J321)&gt;$Z321,"O","U"))</f>
        <v>U</v>
      </c>
      <c r="V321" s="42" t="str">
        <f t="shared" ref="V321:V384" si="201">IF(SUM(F321,K321)=$Z321,"T",IF(SUM(F321,K321)&gt;$Z321,"O","U"))</f>
        <v>U</v>
      </c>
      <c r="W321" s="42" t="str">
        <f t="shared" ref="W321:W384" si="202">IF(SUM(G321,L321)=$Z321,"T",IF(SUM(G321,L321)&gt;$Z321,"O","U"))</f>
        <v>U</v>
      </c>
      <c r="X321" s="42" t="str">
        <f t="shared" ref="X321:X384" si="203">IF(SUM(H321,M321)=$Z321,"T",IF(SUM(H321,M321)&gt;$Z321,"O","U"))</f>
        <v>U</v>
      </c>
      <c r="Z321">
        <v>54</v>
      </c>
      <c r="AA321" t="str">
        <f t="shared" si="153"/>
        <v>CLE/ORL</v>
      </c>
    </row>
    <row r="322" spans="1:27" ht="17.100000000000001" x14ac:dyDescent="0.45">
      <c r="A322" s="42">
        <v>191207</v>
      </c>
      <c r="B322" s="1">
        <v>0.375</v>
      </c>
      <c r="C322" t="s">
        <v>380</v>
      </c>
      <c r="D322" s="5" t="s">
        <v>381</v>
      </c>
      <c r="E322">
        <v>32</v>
      </c>
      <c r="F322">
        <v>23</v>
      </c>
      <c r="G322">
        <v>16</v>
      </c>
      <c r="H322">
        <v>37</v>
      </c>
      <c r="J322">
        <v>19</v>
      </c>
      <c r="K322">
        <v>25</v>
      </c>
      <c r="L322">
        <v>31</v>
      </c>
      <c r="M322">
        <v>26</v>
      </c>
      <c r="N322" s="2" t="s">
        <v>427</v>
      </c>
      <c r="O322" s="42">
        <f t="shared" si="194"/>
        <v>108</v>
      </c>
      <c r="P322" s="42">
        <f t="shared" si="195"/>
        <v>101</v>
      </c>
      <c r="Q322" s="42" t="str">
        <f t="shared" si="196"/>
        <v>HW</v>
      </c>
      <c r="R322" s="42" t="str">
        <f t="shared" si="197"/>
        <v>HL</v>
      </c>
      <c r="S322" s="42" t="str">
        <f t="shared" si="198"/>
        <v>HL</v>
      </c>
      <c r="T322" s="42" t="str">
        <f t="shared" si="199"/>
        <v>HW</v>
      </c>
      <c r="U322" s="42" t="str">
        <f t="shared" si="200"/>
        <v>U</v>
      </c>
      <c r="V322" s="42" t="str">
        <f t="shared" si="201"/>
        <v>U</v>
      </c>
      <c r="W322" s="42" t="str">
        <f t="shared" si="202"/>
        <v>U</v>
      </c>
      <c r="X322" s="42" t="str">
        <f t="shared" si="203"/>
        <v>O</v>
      </c>
      <c r="Z322">
        <v>54.5</v>
      </c>
      <c r="AA322" t="str">
        <f t="shared" si="153"/>
        <v>DET/IND</v>
      </c>
    </row>
    <row r="323" spans="1:27" ht="17.100000000000001" x14ac:dyDescent="0.45">
      <c r="A323" s="42">
        <v>191207</v>
      </c>
      <c r="B323" s="1">
        <v>0.375</v>
      </c>
      <c r="C323" t="s">
        <v>382</v>
      </c>
      <c r="D323" s="5" t="s">
        <v>383</v>
      </c>
      <c r="E323">
        <v>32</v>
      </c>
      <c r="F323">
        <v>25</v>
      </c>
      <c r="G323">
        <v>27</v>
      </c>
      <c r="H323">
        <v>20</v>
      </c>
      <c r="J323">
        <v>29</v>
      </c>
      <c r="K323">
        <v>26</v>
      </c>
      <c r="L323">
        <v>31</v>
      </c>
      <c r="M323">
        <v>25</v>
      </c>
      <c r="N323" s="2" t="s">
        <v>427</v>
      </c>
      <c r="O323" s="42">
        <f t="shared" si="194"/>
        <v>104</v>
      </c>
      <c r="P323" s="42">
        <f t="shared" si="195"/>
        <v>111</v>
      </c>
      <c r="Q323" s="42" t="str">
        <f t="shared" si="196"/>
        <v>HW</v>
      </c>
      <c r="R323" s="42" t="str">
        <f t="shared" si="197"/>
        <v>HL</v>
      </c>
      <c r="S323" s="42" t="str">
        <f t="shared" si="198"/>
        <v>HL</v>
      </c>
      <c r="T323" s="42" t="str">
        <f t="shared" si="199"/>
        <v>HL</v>
      </c>
      <c r="U323" s="42" t="str">
        <f t="shared" si="200"/>
        <v>O</v>
      </c>
      <c r="V323" s="42" t="str">
        <f t="shared" si="201"/>
        <v>U</v>
      </c>
      <c r="W323" s="42" t="str">
        <f t="shared" si="202"/>
        <v>O</v>
      </c>
      <c r="X323" s="42" t="str">
        <f t="shared" si="203"/>
        <v>U</v>
      </c>
      <c r="Z323">
        <v>53.5</v>
      </c>
      <c r="AA323" t="str">
        <f t="shared" si="153"/>
        <v>CHA/BKN</v>
      </c>
    </row>
    <row r="324" spans="1:27" ht="17.100000000000001" x14ac:dyDescent="0.45">
      <c r="A324" s="42">
        <v>191207</v>
      </c>
      <c r="B324" s="1">
        <v>0.41666666666666669</v>
      </c>
      <c r="C324" t="s">
        <v>384</v>
      </c>
      <c r="D324" s="5" t="s">
        <v>373</v>
      </c>
      <c r="E324">
        <v>33</v>
      </c>
      <c r="F324">
        <v>20</v>
      </c>
      <c r="G324">
        <v>32</v>
      </c>
      <c r="H324">
        <v>23</v>
      </c>
      <c r="J324">
        <v>26</v>
      </c>
      <c r="K324">
        <v>19</v>
      </c>
      <c r="L324">
        <v>19</v>
      </c>
      <c r="M324">
        <v>31</v>
      </c>
      <c r="N324" s="2" t="s">
        <v>427</v>
      </c>
      <c r="O324" s="42">
        <f t="shared" si="194"/>
        <v>108</v>
      </c>
      <c r="P324" s="42">
        <f t="shared" si="195"/>
        <v>95</v>
      </c>
      <c r="Q324" s="42" t="str">
        <f t="shared" si="196"/>
        <v>HW</v>
      </c>
      <c r="R324" s="42" t="str">
        <f t="shared" si="197"/>
        <v>HW</v>
      </c>
      <c r="S324" s="42" t="str">
        <f t="shared" si="198"/>
        <v>HW</v>
      </c>
      <c r="T324" s="42" t="str">
        <f t="shared" si="199"/>
        <v>HL</v>
      </c>
      <c r="U324" s="42" t="str">
        <f t="shared" si="200"/>
        <v>O</v>
      </c>
      <c r="V324" s="42" t="str">
        <f t="shared" si="201"/>
        <v>U</v>
      </c>
      <c r="W324" s="42" t="str">
        <f t="shared" si="202"/>
        <v>U</v>
      </c>
      <c r="X324" s="42" t="str">
        <f t="shared" si="203"/>
        <v>O</v>
      </c>
      <c r="Z324">
        <v>52.5</v>
      </c>
      <c r="AA324" t="str">
        <f t="shared" si="153"/>
        <v>BOS/DEN</v>
      </c>
    </row>
    <row r="325" spans="1:27" ht="17.100000000000001" x14ac:dyDescent="0.45">
      <c r="A325" s="42">
        <v>191207</v>
      </c>
      <c r="B325" s="1">
        <v>0.41666666666666669</v>
      </c>
      <c r="C325" t="s">
        <v>385</v>
      </c>
      <c r="D325" s="5" t="s">
        <v>386</v>
      </c>
      <c r="E325">
        <v>28</v>
      </c>
      <c r="F325">
        <v>23</v>
      </c>
      <c r="G325">
        <v>32</v>
      </c>
      <c r="H325">
        <v>15</v>
      </c>
      <c r="J325">
        <v>23</v>
      </c>
      <c r="K325">
        <v>27</v>
      </c>
      <c r="L325">
        <v>27</v>
      </c>
      <c r="M325">
        <v>23</v>
      </c>
      <c r="N325" s="2" t="s">
        <v>427</v>
      </c>
      <c r="O325" s="42">
        <f t="shared" si="194"/>
        <v>98</v>
      </c>
      <c r="P325" s="42">
        <f t="shared" si="195"/>
        <v>100</v>
      </c>
      <c r="Q325" s="42" t="str">
        <f t="shared" si="196"/>
        <v>HW</v>
      </c>
      <c r="R325" s="42" t="str">
        <f t="shared" si="197"/>
        <v>HL</v>
      </c>
      <c r="S325" s="42" t="str">
        <f t="shared" si="198"/>
        <v>HW</v>
      </c>
      <c r="T325" s="42" t="str">
        <f t="shared" si="199"/>
        <v>HL</v>
      </c>
      <c r="U325" s="42" t="str">
        <f t="shared" si="200"/>
        <v>U</v>
      </c>
      <c r="V325" s="42" t="str">
        <f t="shared" si="201"/>
        <v>U</v>
      </c>
      <c r="W325" s="42" t="str">
        <f t="shared" si="202"/>
        <v>O</v>
      </c>
      <c r="X325" s="42" t="str">
        <f t="shared" si="203"/>
        <v>U</v>
      </c>
      <c r="Z325">
        <v>54.5</v>
      </c>
      <c r="AA325" t="str">
        <f t="shared" si="153"/>
        <v>CHI/GS</v>
      </c>
    </row>
    <row r="326" spans="1:27" ht="17.100000000000001" x14ac:dyDescent="0.45">
      <c r="A326" s="42">
        <v>191207</v>
      </c>
      <c r="B326" s="1">
        <v>0.41666666666666669</v>
      </c>
      <c r="C326" t="s">
        <v>387</v>
      </c>
      <c r="D326" s="5" t="s">
        <v>388</v>
      </c>
      <c r="E326">
        <v>27</v>
      </c>
      <c r="F326">
        <v>34</v>
      </c>
      <c r="G326">
        <v>25</v>
      </c>
      <c r="H326">
        <v>26</v>
      </c>
      <c r="J326">
        <v>28</v>
      </c>
      <c r="K326">
        <v>37</v>
      </c>
      <c r="L326">
        <v>20</v>
      </c>
      <c r="M326">
        <v>18</v>
      </c>
      <c r="N326" s="2" t="s">
        <v>427</v>
      </c>
      <c r="O326" s="42">
        <f t="shared" si="194"/>
        <v>112</v>
      </c>
      <c r="P326" s="42">
        <f t="shared" si="195"/>
        <v>103</v>
      </c>
      <c r="Q326" s="42" t="str">
        <f t="shared" si="196"/>
        <v>HL</v>
      </c>
      <c r="R326" s="42" t="str">
        <f t="shared" si="197"/>
        <v>HL</v>
      </c>
      <c r="S326" s="42" t="str">
        <f t="shared" si="198"/>
        <v>HW</v>
      </c>
      <c r="T326" s="42" t="str">
        <f t="shared" si="199"/>
        <v>HW</v>
      </c>
      <c r="U326" s="42" t="str">
        <f t="shared" si="200"/>
        <v>U</v>
      </c>
      <c r="V326" s="42" t="str">
        <f t="shared" si="201"/>
        <v>O</v>
      </c>
      <c r="W326" s="42" t="str">
        <f t="shared" si="202"/>
        <v>U</v>
      </c>
      <c r="X326" s="42" t="str">
        <f t="shared" si="203"/>
        <v>U</v>
      </c>
      <c r="Z326">
        <v>59.5</v>
      </c>
      <c r="AA326" t="str">
        <f t="shared" si="153"/>
        <v>MIA/WAS</v>
      </c>
    </row>
    <row r="327" spans="1:27" ht="17.100000000000001" x14ac:dyDescent="0.45">
      <c r="A327" s="42">
        <v>191207</v>
      </c>
      <c r="B327" s="1">
        <v>0.41666666666666669</v>
      </c>
      <c r="C327" t="s">
        <v>389</v>
      </c>
      <c r="D327" s="5" t="s">
        <v>390</v>
      </c>
      <c r="E327">
        <v>30</v>
      </c>
      <c r="F327">
        <v>23</v>
      </c>
      <c r="G327">
        <v>41</v>
      </c>
      <c r="H327">
        <v>28</v>
      </c>
      <c r="I327">
        <v>17</v>
      </c>
      <c r="J327">
        <v>27</v>
      </c>
      <c r="K327">
        <v>31</v>
      </c>
      <c r="L327">
        <v>39</v>
      </c>
      <c r="M327">
        <v>25</v>
      </c>
      <c r="N327" s="2">
        <v>5</v>
      </c>
      <c r="O327" s="42">
        <f t="shared" si="194"/>
        <v>139</v>
      </c>
      <c r="P327" s="42">
        <f t="shared" si="195"/>
        <v>127</v>
      </c>
      <c r="Q327" s="42" t="str">
        <f t="shared" si="196"/>
        <v>HW</v>
      </c>
      <c r="R327" s="42" t="str">
        <f t="shared" si="197"/>
        <v>HL</v>
      </c>
      <c r="S327" s="42" t="str">
        <f t="shared" si="198"/>
        <v>HW</v>
      </c>
      <c r="T327" s="42" t="str">
        <f t="shared" si="199"/>
        <v>HW</v>
      </c>
      <c r="U327" s="42" t="str">
        <f t="shared" si="200"/>
        <v>O</v>
      </c>
      <c r="V327" s="42" t="str">
        <f t="shared" si="201"/>
        <v>U</v>
      </c>
      <c r="W327" s="42" t="str">
        <f t="shared" si="202"/>
        <v>O</v>
      </c>
      <c r="X327" s="42" t="str">
        <f t="shared" si="203"/>
        <v>U</v>
      </c>
      <c r="Z327">
        <v>56.5</v>
      </c>
      <c r="AA327" t="str">
        <f t="shared" si="153"/>
        <v>OKC/MIN</v>
      </c>
    </row>
    <row r="328" spans="1:27" ht="17.100000000000001" x14ac:dyDescent="0.45">
      <c r="A328" s="42">
        <v>191207</v>
      </c>
      <c r="B328" s="1">
        <v>0.4375</v>
      </c>
      <c r="C328" t="s">
        <v>391</v>
      </c>
      <c r="D328" s="5" t="s">
        <v>392</v>
      </c>
      <c r="E328">
        <v>30</v>
      </c>
      <c r="F328">
        <v>22</v>
      </c>
      <c r="G328">
        <v>35</v>
      </c>
      <c r="H328">
        <v>32</v>
      </c>
      <c r="J328">
        <v>15</v>
      </c>
      <c r="K328">
        <v>28</v>
      </c>
      <c r="L328">
        <v>19</v>
      </c>
      <c r="M328">
        <v>29</v>
      </c>
      <c r="N328" s="2" t="s">
        <v>427</v>
      </c>
      <c r="O328" s="42">
        <f t="shared" si="194"/>
        <v>119</v>
      </c>
      <c r="P328" s="42">
        <f t="shared" si="195"/>
        <v>91</v>
      </c>
      <c r="Q328" s="42" t="str">
        <f t="shared" si="196"/>
        <v>HW</v>
      </c>
      <c r="R328" s="42" t="str">
        <f t="shared" si="197"/>
        <v>HL</v>
      </c>
      <c r="S328" s="42" t="str">
        <f t="shared" si="198"/>
        <v>HW</v>
      </c>
      <c r="T328" s="42" t="str">
        <f t="shared" si="199"/>
        <v>HW</v>
      </c>
      <c r="U328" s="42" t="str">
        <f t="shared" si="200"/>
        <v>U</v>
      </c>
      <c r="V328" s="42" t="str">
        <f t="shared" si="201"/>
        <v>U</v>
      </c>
      <c r="W328" s="42" t="str">
        <f t="shared" si="202"/>
        <v>U</v>
      </c>
      <c r="X328" s="42" t="str">
        <f t="shared" si="203"/>
        <v>O</v>
      </c>
      <c r="Z328">
        <v>60</v>
      </c>
      <c r="AA328" t="str">
        <f t="shared" si="153"/>
        <v>MIL/LAC</v>
      </c>
    </row>
    <row r="329" spans="1:27" ht="17.100000000000001" x14ac:dyDescent="0.45">
      <c r="A329" s="42">
        <v>191207</v>
      </c>
      <c r="B329" s="1">
        <v>0.4375</v>
      </c>
      <c r="C329" t="s">
        <v>393</v>
      </c>
      <c r="D329" s="5" t="s">
        <v>394</v>
      </c>
      <c r="E329">
        <v>21</v>
      </c>
      <c r="F329">
        <v>31</v>
      </c>
      <c r="G329">
        <v>17</v>
      </c>
      <c r="H329">
        <v>31</v>
      </c>
      <c r="I329">
        <v>5</v>
      </c>
      <c r="J329">
        <v>17</v>
      </c>
      <c r="K329">
        <v>25</v>
      </c>
      <c r="L329">
        <v>30</v>
      </c>
      <c r="M329">
        <v>28</v>
      </c>
      <c r="N329" s="2">
        <v>4</v>
      </c>
      <c r="O329" s="42">
        <f t="shared" si="194"/>
        <v>105</v>
      </c>
      <c r="P329" s="42">
        <f t="shared" si="195"/>
        <v>104</v>
      </c>
      <c r="Q329" s="42" t="str">
        <f t="shared" si="196"/>
        <v>HW</v>
      </c>
      <c r="R329" s="42" t="str">
        <f t="shared" si="197"/>
        <v>HW</v>
      </c>
      <c r="S329" s="42" t="str">
        <f t="shared" si="198"/>
        <v>HL</v>
      </c>
      <c r="T329" s="42" t="str">
        <f t="shared" si="199"/>
        <v>HW</v>
      </c>
      <c r="U329" s="42" t="str">
        <f t="shared" si="200"/>
        <v>U</v>
      </c>
      <c r="V329" s="42" t="str">
        <f t="shared" si="201"/>
        <v>O</v>
      </c>
      <c r="W329" s="42" t="str">
        <f t="shared" si="202"/>
        <v>U</v>
      </c>
      <c r="X329" s="42" t="str">
        <f t="shared" si="203"/>
        <v>O</v>
      </c>
      <c r="Z329">
        <v>55.5</v>
      </c>
      <c r="AA329" t="str">
        <f t="shared" si="153"/>
        <v>SAS/SAC</v>
      </c>
    </row>
    <row r="330" spans="1:27" ht="17.100000000000001" x14ac:dyDescent="0.45">
      <c r="A330" s="42">
        <v>191207</v>
      </c>
      <c r="B330" s="1">
        <v>0.52083333333333337</v>
      </c>
      <c r="C330" t="s">
        <v>395</v>
      </c>
      <c r="D330" s="5" t="s">
        <v>396</v>
      </c>
      <c r="E330">
        <v>34</v>
      </c>
      <c r="F330">
        <v>28</v>
      </c>
      <c r="G330">
        <v>31</v>
      </c>
      <c r="H330">
        <v>20</v>
      </c>
      <c r="J330">
        <v>39</v>
      </c>
      <c r="K330">
        <v>38</v>
      </c>
      <c r="L330">
        <v>33</v>
      </c>
      <c r="M330">
        <v>26</v>
      </c>
      <c r="N330" s="2" t="s">
        <v>427</v>
      </c>
      <c r="O330" s="42">
        <f t="shared" si="194"/>
        <v>113</v>
      </c>
      <c r="P330" s="42">
        <f t="shared" si="195"/>
        <v>136</v>
      </c>
      <c r="Q330" s="42" t="str">
        <f t="shared" si="196"/>
        <v>HL</v>
      </c>
      <c r="R330" s="42" t="str">
        <f t="shared" si="197"/>
        <v>HL</v>
      </c>
      <c r="S330" s="42" t="str">
        <f t="shared" si="198"/>
        <v>HL</v>
      </c>
      <c r="T330" s="42" t="str">
        <f t="shared" si="199"/>
        <v>HL</v>
      </c>
      <c r="U330" s="42" t="str">
        <f t="shared" si="200"/>
        <v>O</v>
      </c>
      <c r="V330" s="42" t="str">
        <f t="shared" si="201"/>
        <v>O</v>
      </c>
      <c r="W330" s="42" t="str">
        <f t="shared" si="202"/>
        <v>O</v>
      </c>
      <c r="X330" s="42" t="str">
        <f t="shared" si="203"/>
        <v>U</v>
      </c>
      <c r="Z330">
        <v>58</v>
      </c>
      <c r="AA330" t="str">
        <f t="shared" si="153"/>
        <v>POR/LAL</v>
      </c>
    </row>
    <row r="331" spans="1:27" ht="17.100000000000001" x14ac:dyDescent="0.45">
      <c r="A331" s="42">
        <v>191208</v>
      </c>
      <c r="B331" s="44">
        <v>0.16666666666666666</v>
      </c>
      <c r="C331" s="42" t="s">
        <v>397</v>
      </c>
      <c r="D331" s="42" t="s">
        <v>398</v>
      </c>
      <c r="E331">
        <v>31</v>
      </c>
      <c r="F331">
        <v>33</v>
      </c>
      <c r="G331">
        <v>40</v>
      </c>
      <c r="H331">
        <v>26</v>
      </c>
      <c r="J331">
        <v>28</v>
      </c>
      <c r="K331">
        <v>24</v>
      </c>
      <c r="L331">
        <v>14</v>
      </c>
      <c r="M331">
        <v>18</v>
      </c>
      <c r="N331" s="2" t="s">
        <v>427</v>
      </c>
      <c r="O331" s="42">
        <f t="shared" si="194"/>
        <v>130</v>
      </c>
      <c r="P331" s="42">
        <f t="shared" si="195"/>
        <v>84</v>
      </c>
      <c r="Q331" s="42" t="str">
        <f t="shared" si="196"/>
        <v>HW</v>
      </c>
      <c r="R331" s="42" t="str">
        <f t="shared" si="197"/>
        <v>HW</v>
      </c>
      <c r="S331" s="42" t="str">
        <f t="shared" si="198"/>
        <v>HW</v>
      </c>
      <c r="T331" s="42" t="str">
        <f t="shared" si="199"/>
        <v>HW</v>
      </c>
      <c r="U331" s="42" t="str">
        <f t="shared" si="200"/>
        <v>U</v>
      </c>
      <c r="V331" s="42" t="str">
        <f t="shared" si="201"/>
        <v>U</v>
      </c>
      <c r="W331" s="42" t="str">
        <f t="shared" si="202"/>
        <v>U</v>
      </c>
      <c r="X331" s="42" t="str">
        <f t="shared" si="203"/>
        <v>U</v>
      </c>
      <c r="Z331">
        <v>59.5</v>
      </c>
      <c r="AA331" s="42" t="str">
        <f t="shared" si="153"/>
        <v>DAL/NO</v>
      </c>
    </row>
    <row r="332" spans="1:27" ht="17.100000000000001" x14ac:dyDescent="0.45">
      <c r="A332" s="42">
        <v>191208</v>
      </c>
      <c r="B332" s="44">
        <v>0.39583333333333331</v>
      </c>
      <c r="C332" s="42" t="s">
        <v>399</v>
      </c>
      <c r="D332" s="42" t="s">
        <v>400</v>
      </c>
      <c r="E332">
        <v>27</v>
      </c>
      <c r="F332">
        <v>33</v>
      </c>
      <c r="G332">
        <v>21</v>
      </c>
      <c r="H332">
        <v>22</v>
      </c>
      <c r="J332">
        <v>32</v>
      </c>
      <c r="K332">
        <v>34</v>
      </c>
      <c r="L332">
        <v>23</v>
      </c>
      <c r="M332">
        <v>15</v>
      </c>
      <c r="N332" s="2" t="s">
        <v>427</v>
      </c>
      <c r="O332" s="42">
        <f t="shared" si="194"/>
        <v>103</v>
      </c>
      <c r="P332" s="42">
        <f t="shared" si="195"/>
        <v>104</v>
      </c>
      <c r="Q332" s="42" t="str">
        <f t="shared" si="196"/>
        <v>HL</v>
      </c>
      <c r="R332" s="42" t="str">
        <f t="shared" si="197"/>
        <v>HL</v>
      </c>
      <c r="S332" s="42" t="str">
        <f t="shared" si="198"/>
        <v>HL</v>
      </c>
      <c r="T332" s="42" t="str">
        <f t="shared" si="199"/>
        <v>HW</v>
      </c>
      <c r="U332" s="42" t="str">
        <f t="shared" si="200"/>
        <v>O</v>
      </c>
      <c r="V332" s="42" t="str">
        <f t="shared" si="201"/>
        <v>O</v>
      </c>
      <c r="W332" s="42" t="str">
        <f t="shared" si="202"/>
        <v>U</v>
      </c>
      <c r="X332" s="42" t="str">
        <f t="shared" si="203"/>
        <v>U</v>
      </c>
      <c r="Z332">
        <v>54</v>
      </c>
      <c r="AA332" s="42" t="str">
        <f t="shared" ref="AA332:AA395" si="204">C332&amp;"/"&amp;D332</f>
        <v>NYK/IND</v>
      </c>
    </row>
    <row r="333" spans="1:27" ht="17.100000000000001" x14ac:dyDescent="0.45">
      <c r="A333" s="42">
        <v>191208</v>
      </c>
      <c r="B333" s="44">
        <v>0.39583333333333331</v>
      </c>
      <c r="C333" s="42" t="s">
        <v>401</v>
      </c>
      <c r="D333" s="42" t="s">
        <v>402</v>
      </c>
      <c r="E333">
        <v>36</v>
      </c>
      <c r="F333">
        <v>41</v>
      </c>
      <c r="G333">
        <v>31</v>
      </c>
      <c r="H333">
        <v>33</v>
      </c>
      <c r="J333">
        <v>18</v>
      </c>
      <c r="K333">
        <v>18</v>
      </c>
      <c r="L333">
        <v>26</v>
      </c>
      <c r="M333">
        <v>32</v>
      </c>
      <c r="N333" s="2" t="s">
        <v>427</v>
      </c>
      <c r="O333" s="42">
        <f t="shared" si="194"/>
        <v>141</v>
      </c>
      <c r="P333" s="42">
        <f t="shared" si="195"/>
        <v>94</v>
      </c>
      <c r="Q333" s="42" t="str">
        <f t="shared" si="196"/>
        <v>HW</v>
      </c>
      <c r="R333" s="42" t="str">
        <f t="shared" si="197"/>
        <v>HW</v>
      </c>
      <c r="S333" s="42" t="str">
        <f t="shared" si="198"/>
        <v>HW</v>
      </c>
      <c r="T333" s="42" t="str">
        <f t="shared" si="199"/>
        <v>HW</v>
      </c>
      <c r="U333" s="42" t="str">
        <f t="shared" si="200"/>
        <v>O</v>
      </c>
      <c r="V333" s="42" t="str">
        <f t="shared" si="201"/>
        <v>O</v>
      </c>
      <c r="W333" s="42" t="str">
        <f t="shared" si="202"/>
        <v>O</v>
      </c>
      <c r="X333" s="42" t="str">
        <f t="shared" si="203"/>
        <v>O</v>
      </c>
      <c r="Z333">
        <v>53</v>
      </c>
      <c r="AA333" s="42" t="str">
        <f t="shared" si="204"/>
        <v>PHI/CLE</v>
      </c>
    </row>
    <row r="334" spans="1:27" ht="17.100000000000001" x14ac:dyDescent="0.45">
      <c r="A334" s="42">
        <v>191208</v>
      </c>
      <c r="B334" s="44">
        <v>0.41666666666666669</v>
      </c>
      <c r="C334" s="42" t="s">
        <v>403</v>
      </c>
      <c r="D334" s="42" t="s">
        <v>404</v>
      </c>
      <c r="E334">
        <v>23</v>
      </c>
      <c r="F334">
        <v>37</v>
      </c>
      <c r="G334">
        <v>23</v>
      </c>
      <c r="H334">
        <v>32</v>
      </c>
      <c r="J334">
        <v>31</v>
      </c>
      <c r="K334">
        <v>21</v>
      </c>
      <c r="L334">
        <v>26</v>
      </c>
      <c r="M334">
        <v>31</v>
      </c>
      <c r="N334" s="2" t="s">
        <v>427</v>
      </c>
      <c r="O334" s="42">
        <f t="shared" si="194"/>
        <v>115</v>
      </c>
      <c r="P334" s="42">
        <f t="shared" si="195"/>
        <v>109</v>
      </c>
      <c r="Q334" s="42" t="str">
        <f t="shared" si="196"/>
        <v>HL</v>
      </c>
      <c r="R334" s="42" t="str">
        <f t="shared" si="197"/>
        <v>HW</v>
      </c>
      <c r="S334" s="42" t="str">
        <f t="shared" si="198"/>
        <v>HL</v>
      </c>
      <c r="T334" s="42" t="str">
        <f t="shared" si="199"/>
        <v>HW</v>
      </c>
      <c r="U334" s="42" t="str">
        <f t="shared" si="200"/>
        <v>U</v>
      </c>
      <c r="V334" s="42" t="str">
        <f t="shared" si="201"/>
        <v>U</v>
      </c>
      <c r="W334" s="42" t="str">
        <f t="shared" si="202"/>
        <v>U</v>
      </c>
      <c r="X334" s="42" t="str">
        <f t="shared" si="203"/>
        <v>O</v>
      </c>
      <c r="Z334">
        <v>58.5</v>
      </c>
      <c r="AA334" s="42" t="str">
        <f t="shared" si="204"/>
        <v>HOU/PHO</v>
      </c>
    </row>
    <row r="335" spans="1:27" ht="17.100000000000001" x14ac:dyDescent="0.45">
      <c r="A335" s="42">
        <v>191208</v>
      </c>
      <c r="B335" s="44">
        <v>0.5</v>
      </c>
      <c r="C335" s="42" t="s">
        <v>405</v>
      </c>
      <c r="D335" s="42" t="s">
        <v>406</v>
      </c>
      <c r="E335">
        <v>32</v>
      </c>
      <c r="F335">
        <v>37</v>
      </c>
      <c r="G335">
        <v>28</v>
      </c>
      <c r="H335">
        <v>29</v>
      </c>
      <c r="J335">
        <v>36</v>
      </c>
      <c r="K335">
        <v>18</v>
      </c>
      <c r="L335">
        <v>30</v>
      </c>
      <c r="M335">
        <v>28</v>
      </c>
      <c r="N335" s="2" t="s">
        <v>427</v>
      </c>
      <c r="O335" s="42">
        <f t="shared" si="194"/>
        <v>126</v>
      </c>
      <c r="P335" s="42">
        <f t="shared" si="195"/>
        <v>112</v>
      </c>
      <c r="Q335" s="42" t="str">
        <f t="shared" si="196"/>
        <v>HL</v>
      </c>
      <c r="R335" s="42" t="str">
        <f t="shared" si="197"/>
        <v>HW</v>
      </c>
      <c r="S335" s="42" t="str">
        <f t="shared" si="198"/>
        <v>HL</v>
      </c>
      <c r="T335" s="42" t="str">
        <f t="shared" si="199"/>
        <v>HW</v>
      </c>
      <c r="U335" s="42" t="str">
        <f t="shared" si="200"/>
        <v>O</v>
      </c>
      <c r="V335" s="42" t="str">
        <f t="shared" si="201"/>
        <v>O</v>
      </c>
      <c r="W335" s="42" t="str">
        <f t="shared" si="202"/>
        <v>O</v>
      </c>
      <c r="X335" s="42" t="str">
        <f t="shared" si="203"/>
        <v>O</v>
      </c>
      <c r="Z335">
        <v>53</v>
      </c>
      <c r="AA335" s="42" t="str">
        <f t="shared" si="204"/>
        <v>UTA/MEM</v>
      </c>
    </row>
    <row r="336" spans="1:27" ht="17.100000000000001" x14ac:dyDescent="0.45">
      <c r="A336" s="42">
        <v>191209</v>
      </c>
      <c r="B336" s="44">
        <v>0.20833333333333334</v>
      </c>
      <c r="C336" s="42" t="s">
        <v>407</v>
      </c>
      <c r="D336" s="42" t="s">
        <v>408</v>
      </c>
      <c r="E336">
        <v>25</v>
      </c>
      <c r="F336">
        <v>28</v>
      </c>
      <c r="G336">
        <v>29</v>
      </c>
      <c r="H336">
        <v>23</v>
      </c>
      <c r="J336">
        <v>21</v>
      </c>
      <c r="K336">
        <v>33</v>
      </c>
      <c r="L336">
        <v>23</v>
      </c>
      <c r="M336">
        <v>25</v>
      </c>
      <c r="N336" s="2" t="s">
        <v>427</v>
      </c>
      <c r="O336" s="42">
        <f t="shared" si="194"/>
        <v>105</v>
      </c>
      <c r="P336" s="42">
        <f t="shared" si="195"/>
        <v>102</v>
      </c>
      <c r="Q336" s="42" t="str">
        <f t="shared" si="196"/>
        <v>HW</v>
      </c>
      <c r="R336" s="42" t="str">
        <f t="shared" si="197"/>
        <v>HL</v>
      </c>
      <c r="S336" s="42" t="str">
        <f t="shared" si="198"/>
        <v>HW</v>
      </c>
      <c r="T336" s="42" t="str">
        <f t="shared" si="199"/>
        <v>HL</v>
      </c>
      <c r="U336" s="42" t="str">
        <f t="shared" si="200"/>
        <v>U</v>
      </c>
      <c r="V336" s="42" t="str">
        <f t="shared" si="201"/>
        <v>O</v>
      </c>
      <c r="W336" s="42" t="str">
        <f t="shared" si="202"/>
        <v>U</v>
      </c>
      <c r="X336" s="42" t="str">
        <f t="shared" si="203"/>
        <v>U</v>
      </c>
      <c r="Z336">
        <v>54.5</v>
      </c>
      <c r="AA336" s="42" t="str">
        <f t="shared" si="204"/>
        <v>BKN/DEN</v>
      </c>
    </row>
    <row r="337" spans="1:27" ht="17.100000000000001" x14ac:dyDescent="0.45">
      <c r="A337" s="42">
        <v>191209</v>
      </c>
      <c r="B337" s="44">
        <v>0.29166666666666669</v>
      </c>
      <c r="C337" s="42" t="s">
        <v>409</v>
      </c>
      <c r="D337" s="42" t="s">
        <v>410</v>
      </c>
      <c r="E337">
        <v>27</v>
      </c>
      <c r="F337">
        <v>26</v>
      </c>
      <c r="G337">
        <v>30</v>
      </c>
      <c r="H337">
        <v>24</v>
      </c>
      <c r="J337">
        <v>24</v>
      </c>
      <c r="K337">
        <v>27</v>
      </c>
      <c r="L337">
        <v>37</v>
      </c>
      <c r="M337">
        <v>34</v>
      </c>
      <c r="N337" s="2" t="s">
        <v>427</v>
      </c>
      <c r="O337" s="42">
        <f t="shared" si="194"/>
        <v>107</v>
      </c>
      <c r="P337" s="42">
        <f t="shared" si="195"/>
        <v>122</v>
      </c>
      <c r="Q337" s="42" t="str">
        <f t="shared" si="196"/>
        <v>HW</v>
      </c>
      <c r="R337" s="42" t="str">
        <f t="shared" si="197"/>
        <v>HL</v>
      </c>
      <c r="S337" s="42" t="str">
        <f t="shared" si="198"/>
        <v>HL</v>
      </c>
      <c r="T337" s="42" t="str">
        <f t="shared" si="199"/>
        <v>HL</v>
      </c>
      <c r="U337" s="42" t="str">
        <f t="shared" si="200"/>
        <v>U</v>
      </c>
      <c r="V337" s="42" t="str">
        <f t="shared" si="201"/>
        <v>U</v>
      </c>
      <c r="W337" s="42" t="str">
        <f t="shared" si="202"/>
        <v>O</v>
      </c>
      <c r="X337" s="42" t="str">
        <f t="shared" si="203"/>
        <v>O</v>
      </c>
      <c r="Z337">
        <v>57</v>
      </c>
      <c r="AA337" s="42" t="str">
        <f t="shared" si="204"/>
        <v>CHA/ATL</v>
      </c>
    </row>
    <row r="338" spans="1:27" ht="17.100000000000001" x14ac:dyDescent="0.45">
      <c r="A338" s="42">
        <v>191209</v>
      </c>
      <c r="B338" s="44">
        <v>0.33333333333333331</v>
      </c>
      <c r="C338" s="42" t="s">
        <v>411</v>
      </c>
      <c r="D338" s="42" t="s">
        <v>412</v>
      </c>
      <c r="E338">
        <v>16</v>
      </c>
      <c r="F338">
        <v>31</v>
      </c>
      <c r="G338">
        <v>27</v>
      </c>
      <c r="H338">
        <v>23</v>
      </c>
      <c r="I338">
        <v>13</v>
      </c>
      <c r="J338">
        <v>25</v>
      </c>
      <c r="K338">
        <v>24</v>
      </c>
      <c r="L338">
        <v>24</v>
      </c>
      <c r="M338">
        <v>24</v>
      </c>
      <c r="N338" s="2">
        <v>8</v>
      </c>
      <c r="O338" s="42">
        <f t="shared" si="194"/>
        <v>110</v>
      </c>
      <c r="P338" s="42">
        <f t="shared" si="195"/>
        <v>105</v>
      </c>
      <c r="Q338" s="42" t="str">
        <f t="shared" si="196"/>
        <v>HL</v>
      </c>
      <c r="R338" s="42" t="str">
        <f t="shared" si="197"/>
        <v>HW</v>
      </c>
      <c r="S338" s="42" t="str">
        <f t="shared" si="198"/>
        <v>HW</v>
      </c>
      <c r="T338" s="42" t="str">
        <f t="shared" si="199"/>
        <v>HL</v>
      </c>
      <c r="U338" s="42" t="str">
        <f t="shared" si="200"/>
        <v>U</v>
      </c>
      <c r="V338" s="42" t="str">
        <f t="shared" si="201"/>
        <v>O</v>
      </c>
      <c r="W338" s="42" t="str">
        <f t="shared" si="202"/>
        <v>U</v>
      </c>
      <c r="X338" s="42" t="str">
        <f t="shared" si="203"/>
        <v>U</v>
      </c>
      <c r="Z338">
        <v>54</v>
      </c>
      <c r="AA338" s="42" t="str">
        <f t="shared" si="204"/>
        <v>MIA/CHI</v>
      </c>
    </row>
    <row r="339" spans="1:27" ht="17.100000000000001" x14ac:dyDescent="0.45">
      <c r="A339" s="42">
        <v>191209</v>
      </c>
      <c r="B339" s="44">
        <v>0.33333333333333331</v>
      </c>
      <c r="C339" s="42" t="s">
        <v>401</v>
      </c>
      <c r="D339" s="42" t="s">
        <v>413</v>
      </c>
      <c r="E339">
        <v>27</v>
      </c>
      <c r="F339">
        <v>30</v>
      </c>
      <c r="G339">
        <v>29</v>
      </c>
      <c r="H339">
        <v>24</v>
      </c>
      <c r="J339">
        <v>22</v>
      </c>
      <c r="K339">
        <v>20</v>
      </c>
      <c r="L339">
        <v>26</v>
      </c>
      <c r="M339">
        <v>36</v>
      </c>
      <c r="N339" s="2" t="s">
        <v>427</v>
      </c>
      <c r="O339" s="42">
        <f t="shared" si="194"/>
        <v>110</v>
      </c>
      <c r="P339" s="42">
        <f t="shared" si="195"/>
        <v>104</v>
      </c>
      <c r="Q339" s="42" t="str">
        <f t="shared" si="196"/>
        <v>HW</v>
      </c>
      <c r="R339" s="42" t="str">
        <f t="shared" si="197"/>
        <v>HW</v>
      </c>
      <c r="S339" s="42" t="str">
        <f t="shared" si="198"/>
        <v>HW</v>
      </c>
      <c r="T339" s="42" t="str">
        <f t="shared" si="199"/>
        <v>HL</v>
      </c>
      <c r="U339" s="42" t="str">
        <f t="shared" si="200"/>
        <v>U</v>
      </c>
      <c r="V339" s="42" t="str">
        <f t="shared" si="201"/>
        <v>U</v>
      </c>
      <c r="W339" s="42" t="str">
        <f t="shared" si="202"/>
        <v>O</v>
      </c>
      <c r="X339" s="42" t="str">
        <f t="shared" si="203"/>
        <v>O</v>
      </c>
      <c r="Z339">
        <v>54.5</v>
      </c>
      <c r="AA339" s="42" t="str">
        <f t="shared" si="204"/>
        <v>PHI/TOR</v>
      </c>
    </row>
    <row r="340" spans="1:27" ht="17.100000000000001" x14ac:dyDescent="0.45">
      <c r="A340" s="42">
        <v>191209</v>
      </c>
      <c r="B340" s="44">
        <v>0.33333333333333331</v>
      </c>
      <c r="C340" s="42" t="s">
        <v>414</v>
      </c>
      <c r="D340" s="42" t="s">
        <v>415</v>
      </c>
      <c r="E340">
        <v>25</v>
      </c>
      <c r="F340">
        <v>39</v>
      </c>
      <c r="G340">
        <v>29</v>
      </c>
      <c r="H340">
        <v>26</v>
      </c>
      <c r="J340">
        <v>35</v>
      </c>
      <c r="K340">
        <v>30</v>
      </c>
      <c r="L340">
        <v>35</v>
      </c>
      <c r="M340">
        <v>35</v>
      </c>
      <c r="N340" s="2" t="s">
        <v>427</v>
      </c>
      <c r="O340" s="42">
        <f t="shared" si="194"/>
        <v>119</v>
      </c>
      <c r="P340" s="42">
        <f t="shared" si="195"/>
        <v>135</v>
      </c>
      <c r="Q340" s="42" t="str">
        <f t="shared" si="196"/>
        <v>HL</v>
      </c>
      <c r="R340" s="42" t="str">
        <f t="shared" si="197"/>
        <v>HW</v>
      </c>
      <c r="S340" s="42" t="str">
        <f t="shared" si="198"/>
        <v>HL</v>
      </c>
      <c r="T340" s="42" t="str">
        <f t="shared" si="199"/>
        <v>HL</v>
      </c>
      <c r="U340" s="42" t="str">
        <f t="shared" si="200"/>
        <v>U</v>
      </c>
      <c r="V340" s="42" t="str">
        <f t="shared" si="201"/>
        <v>O</v>
      </c>
      <c r="W340" s="42" t="str">
        <f t="shared" si="202"/>
        <v>O</v>
      </c>
      <c r="X340" s="42" t="str">
        <f t="shared" si="203"/>
        <v>O</v>
      </c>
      <c r="Z340">
        <v>60.5</v>
      </c>
      <c r="AA340" s="42" t="str">
        <f t="shared" si="204"/>
        <v>WAS/LAC</v>
      </c>
    </row>
    <row r="341" spans="1:27" ht="17.100000000000001" x14ac:dyDescent="0.45">
      <c r="A341" s="42">
        <v>191209</v>
      </c>
      <c r="B341" s="44">
        <v>0.375</v>
      </c>
      <c r="C341" s="42" t="s">
        <v>397</v>
      </c>
      <c r="D341" s="42" t="s">
        <v>416</v>
      </c>
      <c r="E341">
        <v>27</v>
      </c>
      <c r="F341">
        <v>19</v>
      </c>
      <c r="G341">
        <v>32</v>
      </c>
      <c r="H341">
        <v>28</v>
      </c>
      <c r="J341">
        <v>36</v>
      </c>
      <c r="K341">
        <v>30</v>
      </c>
      <c r="L341">
        <v>26</v>
      </c>
      <c r="M341">
        <v>18</v>
      </c>
      <c r="N341" s="2" t="s">
        <v>427</v>
      </c>
      <c r="O341" s="42">
        <f t="shared" si="194"/>
        <v>106</v>
      </c>
      <c r="P341" s="42">
        <f t="shared" si="195"/>
        <v>110</v>
      </c>
      <c r="Q341" s="42" t="str">
        <f t="shared" si="196"/>
        <v>HL</v>
      </c>
      <c r="R341" s="42" t="str">
        <f t="shared" si="197"/>
        <v>HL</v>
      </c>
      <c r="S341" s="42" t="str">
        <f t="shared" si="198"/>
        <v>HW</v>
      </c>
      <c r="T341" s="42" t="str">
        <f t="shared" si="199"/>
        <v>HW</v>
      </c>
      <c r="U341" s="42" t="str">
        <f t="shared" si="200"/>
        <v>O</v>
      </c>
      <c r="V341" s="42" t="str">
        <f t="shared" si="201"/>
        <v>U</v>
      </c>
      <c r="W341" s="42" t="str">
        <f t="shared" si="202"/>
        <v>O</v>
      </c>
      <c r="X341" s="42" t="str">
        <f t="shared" si="203"/>
        <v>U</v>
      </c>
      <c r="Z341">
        <v>55.5</v>
      </c>
      <c r="AA341" s="42" t="str">
        <f t="shared" si="204"/>
        <v>DAL/SAC</v>
      </c>
    </row>
    <row r="342" spans="1:27" ht="17.100000000000001" x14ac:dyDescent="0.45">
      <c r="A342" s="42">
        <v>191209</v>
      </c>
      <c r="B342" s="44">
        <v>0.45833333333333331</v>
      </c>
      <c r="C342" s="42" t="s">
        <v>417</v>
      </c>
      <c r="D342" s="42" t="s">
        <v>418</v>
      </c>
      <c r="E342">
        <v>20</v>
      </c>
      <c r="F342">
        <v>27</v>
      </c>
      <c r="G342">
        <v>31</v>
      </c>
      <c r="H342">
        <v>18</v>
      </c>
      <c r="J342">
        <v>21</v>
      </c>
      <c r="K342">
        <v>34</v>
      </c>
      <c r="L342">
        <v>27</v>
      </c>
      <c r="M342">
        <v>26</v>
      </c>
      <c r="N342" s="2" t="s">
        <v>427</v>
      </c>
      <c r="O342" s="42">
        <f t="shared" si="194"/>
        <v>96</v>
      </c>
      <c r="P342" s="42">
        <f t="shared" si="195"/>
        <v>108</v>
      </c>
      <c r="Q342" s="42" t="str">
        <f t="shared" si="196"/>
        <v>HL</v>
      </c>
      <c r="R342" s="42" t="str">
        <f t="shared" si="197"/>
        <v>HL</v>
      </c>
      <c r="S342" s="42" t="str">
        <f t="shared" si="198"/>
        <v>HW</v>
      </c>
      <c r="T342" s="42" t="str">
        <f t="shared" si="199"/>
        <v>HL</v>
      </c>
      <c r="U342" s="42" t="str">
        <f t="shared" si="200"/>
        <v>U</v>
      </c>
      <c r="V342" s="42" t="str">
        <f t="shared" si="201"/>
        <v>O</v>
      </c>
      <c r="W342" s="42" t="str">
        <f t="shared" si="202"/>
        <v>O</v>
      </c>
      <c r="X342" s="42" t="str">
        <f t="shared" si="203"/>
        <v>U</v>
      </c>
      <c r="Z342">
        <v>57.5</v>
      </c>
      <c r="AA342" s="42" t="str">
        <f t="shared" si="204"/>
        <v>POR/OKC</v>
      </c>
    </row>
    <row r="343" spans="1:27" ht="17.100000000000001" x14ac:dyDescent="0.45">
      <c r="A343" s="42">
        <v>191209</v>
      </c>
      <c r="B343" s="44">
        <v>0.47916666666666669</v>
      </c>
      <c r="C343" s="42" t="s">
        <v>419</v>
      </c>
      <c r="D343" s="42" t="s">
        <v>420</v>
      </c>
      <c r="E343">
        <v>39</v>
      </c>
      <c r="F343">
        <v>34</v>
      </c>
      <c r="G343">
        <v>37</v>
      </c>
      <c r="H343">
        <v>32</v>
      </c>
      <c r="J343">
        <v>31</v>
      </c>
      <c r="K343">
        <v>34</v>
      </c>
      <c r="L343">
        <v>38</v>
      </c>
      <c r="M343">
        <v>22</v>
      </c>
      <c r="N343" s="2" t="s">
        <v>427</v>
      </c>
      <c r="O343" s="42">
        <f t="shared" si="194"/>
        <v>142</v>
      </c>
      <c r="P343" s="42">
        <f t="shared" si="195"/>
        <v>125</v>
      </c>
      <c r="Q343" s="42" t="str">
        <f t="shared" si="196"/>
        <v>HW</v>
      </c>
      <c r="R343" s="42" t="str">
        <f t="shared" si="197"/>
        <v>TT</v>
      </c>
      <c r="S343" s="42" t="str">
        <f t="shared" si="198"/>
        <v>HL</v>
      </c>
      <c r="T343" s="42" t="str">
        <f t="shared" si="199"/>
        <v>HW</v>
      </c>
      <c r="U343" s="42" t="str">
        <f t="shared" si="200"/>
        <v>O</v>
      </c>
      <c r="V343" s="42" t="str">
        <f t="shared" si="201"/>
        <v>O</v>
      </c>
      <c r="W343" s="42" t="str">
        <f t="shared" si="202"/>
        <v>O</v>
      </c>
      <c r="X343" s="42" t="str">
        <f t="shared" si="203"/>
        <v>U</v>
      </c>
      <c r="Z343">
        <v>58.5</v>
      </c>
      <c r="AA343" s="42" t="str">
        <f t="shared" si="204"/>
        <v>LAL/MIN</v>
      </c>
    </row>
    <row r="344" spans="1:27" ht="17.100000000000001" x14ac:dyDescent="0.45">
      <c r="A344" s="42">
        <v>191210</v>
      </c>
      <c r="B344" s="44">
        <v>0.375</v>
      </c>
      <c r="C344" s="42" t="s">
        <v>400</v>
      </c>
      <c r="D344" s="42" t="s">
        <v>415</v>
      </c>
      <c r="E344">
        <v>19</v>
      </c>
      <c r="F344">
        <v>29</v>
      </c>
      <c r="G344">
        <v>25</v>
      </c>
      <c r="H344">
        <v>26</v>
      </c>
      <c r="J344">
        <v>24</v>
      </c>
      <c r="K344">
        <v>36</v>
      </c>
      <c r="L344">
        <v>31</v>
      </c>
      <c r="M344">
        <v>19</v>
      </c>
      <c r="N344" s="2" t="s">
        <v>427</v>
      </c>
      <c r="O344" s="42">
        <f t="shared" si="194"/>
        <v>99</v>
      </c>
      <c r="P344" s="42">
        <f t="shared" si="195"/>
        <v>110</v>
      </c>
      <c r="Q344" s="42" t="str">
        <f t="shared" si="196"/>
        <v>HL</v>
      </c>
      <c r="R344" s="42" t="str">
        <f t="shared" si="197"/>
        <v>HL</v>
      </c>
      <c r="S344" s="42" t="str">
        <f t="shared" si="198"/>
        <v>HL</v>
      </c>
      <c r="T344" s="42" t="str">
        <f t="shared" si="199"/>
        <v>HW</v>
      </c>
      <c r="U344" s="42" t="str">
        <f t="shared" si="200"/>
        <v>U</v>
      </c>
      <c r="V344" s="42" t="str">
        <f t="shared" si="201"/>
        <v>O</v>
      </c>
      <c r="W344" s="42" t="str">
        <f t="shared" si="202"/>
        <v>T</v>
      </c>
      <c r="X344" s="42" t="str">
        <f t="shared" si="203"/>
        <v>U</v>
      </c>
      <c r="Z344">
        <v>56</v>
      </c>
      <c r="AA344" s="42" t="str">
        <f t="shared" si="204"/>
        <v>IND/LAC</v>
      </c>
    </row>
    <row r="345" spans="1:27" ht="17.100000000000001" x14ac:dyDescent="0.45">
      <c r="A345" s="42">
        <v>191210</v>
      </c>
      <c r="B345" s="44">
        <v>0.39583333333333331</v>
      </c>
      <c r="C345" s="42" t="s">
        <v>421</v>
      </c>
      <c r="D345" s="42" t="s">
        <v>402</v>
      </c>
      <c r="E345">
        <v>29</v>
      </c>
      <c r="F345">
        <v>24</v>
      </c>
      <c r="G345">
        <v>30</v>
      </c>
      <c r="H345">
        <v>27</v>
      </c>
      <c r="J345">
        <v>18</v>
      </c>
      <c r="K345">
        <v>22</v>
      </c>
      <c r="L345">
        <v>26</v>
      </c>
      <c r="M345">
        <v>22</v>
      </c>
      <c r="N345" s="2" t="s">
        <v>427</v>
      </c>
      <c r="O345" s="42">
        <f t="shared" si="194"/>
        <v>110</v>
      </c>
      <c r="P345" s="42">
        <f t="shared" si="195"/>
        <v>88</v>
      </c>
      <c r="Q345" s="42" t="str">
        <f t="shared" si="196"/>
        <v>HW</v>
      </c>
      <c r="R345" s="42" t="str">
        <f t="shared" si="197"/>
        <v>HW</v>
      </c>
      <c r="S345" s="42" t="str">
        <f t="shared" si="198"/>
        <v>HW</v>
      </c>
      <c r="T345" s="42" t="str">
        <f t="shared" si="199"/>
        <v>HW</v>
      </c>
      <c r="U345" s="42" t="str">
        <f t="shared" si="200"/>
        <v>U</v>
      </c>
      <c r="V345" s="42" t="str">
        <f t="shared" si="201"/>
        <v>U</v>
      </c>
      <c r="W345" s="42" t="str">
        <f t="shared" si="202"/>
        <v>O</v>
      </c>
      <c r="X345" s="42" t="str">
        <f t="shared" si="203"/>
        <v>U</v>
      </c>
      <c r="Z345">
        <v>52.5</v>
      </c>
      <c r="AA345" s="42" t="str">
        <f t="shared" si="204"/>
        <v>BOS/CLE</v>
      </c>
    </row>
    <row r="346" spans="1:27" ht="17.100000000000001" x14ac:dyDescent="0.45">
      <c r="A346" s="42">
        <v>191210</v>
      </c>
      <c r="B346" s="44">
        <v>0.41666666666666669</v>
      </c>
      <c r="C346" s="42" t="s">
        <v>398</v>
      </c>
      <c r="D346" s="42" t="s">
        <v>422</v>
      </c>
      <c r="E346">
        <v>29</v>
      </c>
      <c r="F346">
        <v>24</v>
      </c>
      <c r="G346">
        <v>21</v>
      </c>
      <c r="H346">
        <v>29</v>
      </c>
      <c r="J346">
        <v>25</v>
      </c>
      <c r="K346">
        <v>22</v>
      </c>
      <c r="L346">
        <v>34</v>
      </c>
      <c r="M346">
        <v>24</v>
      </c>
      <c r="N346" s="2" t="s">
        <v>427</v>
      </c>
      <c r="O346" s="42">
        <f t="shared" si="194"/>
        <v>103</v>
      </c>
      <c r="P346" s="42">
        <f t="shared" si="195"/>
        <v>105</v>
      </c>
      <c r="Q346" s="42" t="str">
        <f t="shared" si="196"/>
        <v>HW</v>
      </c>
      <c r="R346" s="42" t="str">
        <f t="shared" si="197"/>
        <v>HW</v>
      </c>
      <c r="S346" s="42" t="str">
        <f t="shared" si="198"/>
        <v>HL</v>
      </c>
      <c r="T346" s="42" t="str">
        <f t="shared" si="199"/>
        <v>HW</v>
      </c>
      <c r="U346" s="42" t="str">
        <f t="shared" si="200"/>
        <v>U</v>
      </c>
      <c r="V346" s="42" t="str">
        <f t="shared" si="201"/>
        <v>U</v>
      </c>
      <c r="W346" s="42" t="str">
        <f t="shared" si="202"/>
        <v>U</v>
      </c>
      <c r="X346" s="42" t="str">
        <f t="shared" si="203"/>
        <v>U</v>
      </c>
      <c r="Z346">
        <v>58</v>
      </c>
      <c r="AA346" s="42" t="str">
        <f t="shared" si="204"/>
        <v>NO/DET</v>
      </c>
    </row>
    <row r="347" spans="1:27" ht="17.100000000000001" x14ac:dyDescent="0.45">
      <c r="A347" s="42">
        <v>191210</v>
      </c>
      <c r="B347" s="44">
        <v>0.41666666666666669</v>
      </c>
      <c r="C347" s="42" t="s">
        <v>412</v>
      </c>
      <c r="D347" s="42" t="s">
        <v>413</v>
      </c>
      <c r="E347">
        <v>30</v>
      </c>
      <c r="F347">
        <v>21</v>
      </c>
      <c r="G347">
        <v>20</v>
      </c>
      <c r="H347">
        <v>21</v>
      </c>
      <c r="J347">
        <v>30</v>
      </c>
      <c r="K347">
        <v>19</v>
      </c>
      <c r="L347">
        <v>22</v>
      </c>
      <c r="M347">
        <v>22</v>
      </c>
      <c r="N347" s="2" t="s">
        <v>427</v>
      </c>
      <c r="O347" s="42">
        <f t="shared" si="194"/>
        <v>92</v>
      </c>
      <c r="P347" s="42">
        <f t="shared" si="195"/>
        <v>93</v>
      </c>
      <c r="Q347" s="42" t="str">
        <f t="shared" si="196"/>
        <v>TT</v>
      </c>
      <c r="R347" s="42" t="str">
        <f t="shared" si="197"/>
        <v>HW</v>
      </c>
      <c r="S347" s="42" t="str">
        <f t="shared" si="198"/>
        <v>HL</v>
      </c>
      <c r="T347" s="42" t="str">
        <f t="shared" si="199"/>
        <v>HL</v>
      </c>
      <c r="U347" s="42" t="str">
        <f t="shared" si="200"/>
        <v>O</v>
      </c>
      <c r="V347" s="42" t="str">
        <f t="shared" si="201"/>
        <v>U</v>
      </c>
      <c r="W347" s="42" t="str">
        <f t="shared" si="202"/>
        <v>U</v>
      </c>
      <c r="X347" s="42" t="str">
        <f t="shared" si="203"/>
        <v>U</v>
      </c>
      <c r="Z347">
        <v>55</v>
      </c>
      <c r="AA347" s="42" t="str">
        <f t="shared" si="204"/>
        <v>CHI/TOR</v>
      </c>
    </row>
    <row r="348" spans="1:27" ht="17.100000000000001" x14ac:dyDescent="0.45">
      <c r="A348" s="42">
        <v>191210</v>
      </c>
      <c r="B348" s="44">
        <v>0.41666666666666669</v>
      </c>
      <c r="C348" s="42" t="s">
        <v>403</v>
      </c>
      <c r="D348" s="42" t="s">
        <v>416</v>
      </c>
      <c r="E348">
        <v>28</v>
      </c>
      <c r="F348">
        <v>36</v>
      </c>
      <c r="G348">
        <v>29</v>
      </c>
      <c r="H348">
        <v>25</v>
      </c>
      <c r="J348">
        <v>32</v>
      </c>
      <c r="K348">
        <v>27</v>
      </c>
      <c r="L348">
        <v>35</v>
      </c>
      <c r="M348">
        <v>25</v>
      </c>
      <c r="N348" s="2" t="s">
        <v>427</v>
      </c>
      <c r="O348" s="42">
        <f t="shared" si="194"/>
        <v>118</v>
      </c>
      <c r="P348" s="42">
        <f t="shared" si="195"/>
        <v>119</v>
      </c>
      <c r="Q348" s="42" t="str">
        <f t="shared" si="196"/>
        <v>HL</v>
      </c>
      <c r="R348" s="42" t="str">
        <f t="shared" si="197"/>
        <v>HW</v>
      </c>
      <c r="S348" s="42" t="str">
        <f t="shared" si="198"/>
        <v>HL</v>
      </c>
      <c r="T348" s="42" t="str">
        <f t="shared" si="199"/>
        <v>TT</v>
      </c>
      <c r="U348" s="42" t="str">
        <f t="shared" si="200"/>
        <v>O</v>
      </c>
      <c r="V348" s="42" t="str">
        <f t="shared" si="201"/>
        <v>O</v>
      </c>
      <c r="W348" s="42" t="str">
        <f t="shared" si="202"/>
        <v>O</v>
      </c>
      <c r="X348" s="42" t="str">
        <f t="shared" si="203"/>
        <v>U</v>
      </c>
      <c r="Z348">
        <v>58</v>
      </c>
      <c r="AA348" s="42" t="str">
        <f t="shared" si="204"/>
        <v>HOU/SAC</v>
      </c>
    </row>
    <row r="349" spans="1:27" ht="17.100000000000001" x14ac:dyDescent="0.45">
      <c r="A349" s="42">
        <v>191210</v>
      </c>
      <c r="B349" s="44">
        <v>0.41666666666666669</v>
      </c>
      <c r="C349" s="42" t="s">
        <v>423</v>
      </c>
      <c r="D349" s="42" t="s">
        <v>424</v>
      </c>
      <c r="E349">
        <v>31</v>
      </c>
      <c r="F349">
        <v>21</v>
      </c>
      <c r="G349">
        <v>28</v>
      </c>
      <c r="H349">
        <v>30</v>
      </c>
      <c r="J349">
        <v>20</v>
      </c>
      <c r="K349">
        <v>20</v>
      </c>
      <c r="L349">
        <v>33</v>
      </c>
      <c r="M349">
        <v>28</v>
      </c>
      <c r="N349" s="2" t="s">
        <v>427</v>
      </c>
      <c r="O349" s="42">
        <f t="shared" si="194"/>
        <v>110</v>
      </c>
      <c r="P349" s="42">
        <f t="shared" si="195"/>
        <v>101</v>
      </c>
      <c r="Q349" s="42" t="str">
        <f t="shared" si="196"/>
        <v>HW</v>
      </c>
      <c r="R349" s="42" t="str">
        <f t="shared" si="197"/>
        <v>HW</v>
      </c>
      <c r="S349" s="42" t="str">
        <f t="shared" si="198"/>
        <v>HL</v>
      </c>
      <c r="T349" s="42" t="str">
        <f t="shared" si="199"/>
        <v>HW</v>
      </c>
      <c r="U349" s="42" t="str">
        <f t="shared" si="200"/>
        <v>U</v>
      </c>
      <c r="V349" s="42" t="str">
        <f t="shared" si="201"/>
        <v>U</v>
      </c>
      <c r="W349" s="42" t="str">
        <f t="shared" si="202"/>
        <v>O</v>
      </c>
      <c r="X349" s="42" t="str">
        <f t="shared" si="203"/>
        <v>O</v>
      </c>
      <c r="Z349">
        <v>56.5</v>
      </c>
      <c r="AA349" s="42" t="str">
        <f t="shared" si="204"/>
        <v>MIL/ORL</v>
      </c>
    </row>
    <row r="350" spans="1:27" ht="17.100000000000001" x14ac:dyDescent="0.45">
      <c r="A350" s="42">
        <v>191210</v>
      </c>
      <c r="B350" s="44">
        <v>0.45833333333333331</v>
      </c>
      <c r="C350" s="42" t="s">
        <v>404</v>
      </c>
      <c r="D350" s="42" t="s">
        <v>420</v>
      </c>
      <c r="E350">
        <v>33</v>
      </c>
      <c r="F350">
        <v>28</v>
      </c>
      <c r="G350">
        <v>33</v>
      </c>
      <c r="H350">
        <v>31</v>
      </c>
      <c r="J350">
        <v>31</v>
      </c>
      <c r="K350">
        <v>33</v>
      </c>
      <c r="L350">
        <v>21</v>
      </c>
      <c r="M350">
        <v>24</v>
      </c>
      <c r="N350" s="2" t="s">
        <v>427</v>
      </c>
      <c r="O350" s="42">
        <f t="shared" si="194"/>
        <v>125</v>
      </c>
      <c r="P350" s="42">
        <f t="shared" si="195"/>
        <v>109</v>
      </c>
      <c r="Q350" s="42" t="str">
        <f t="shared" si="196"/>
        <v>HW</v>
      </c>
      <c r="R350" s="42" t="str">
        <f t="shared" si="197"/>
        <v>HL</v>
      </c>
      <c r="S350" s="42" t="str">
        <f t="shared" si="198"/>
        <v>HW</v>
      </c>
      <c r="T350" s="42" t="str">
        <f t="shared" si="199"/>
        <v>HW</v>
      </c>
      <c r="U350" s="42" t="str">
        <f t="shared" si="200"/>
        <v>O</v>
      </c>
      <c r="V350" s="42" t="str">
        <f t="shared" si="201"/>
        <v>O</v>
      </c>
      <c r="W350" s="42" t="str">
        <f t="shared" si="202"/>
        <v>U</v>
      </c>
      <c r="X350" s="42" t="str">
        <f t="shared" si="203"/>
        <v>U</v>
      </c>
      <c r="Z350">
        <v>60</v>
      </c>
      <c r="AA350" s="42" t="str">
        <f t="shared" si="204"/>
        <v>PHO/MIN</v>
      </c>
    </row>
    <row r="351" spans="1:27" ht="17.100000000000001" x14ac:dyDescent="0.45">
      <c r="A351" s="42">
        <v>191210</v>
      </c>
      <c r="B351" s="44">
        <v>0.45833333333333331</v>
      </c>
      <c r="C351" s="42" t="s">
        <v>405</v>
      </c>
      <c r="D351" s="42" t="s">
        <v>418</v>
      </c>
      <c r="E351">
        <v>24</v>
      </c>
      <c r="F351">
        <v>23</v>
      </c>
      <c r="G351">
        <v>21</v>
      </c>
      <c r="H351">
        <v>22</v>
      </c>
      <c r="J351">
        <v>25</v>
      </c>
      <c r="K351">
        <v>26</v>
      </c>
      <c r="L351">
        <v>34</v>
      </c>
      <c r="M351">
        <v>19</v>
      </c>
      <c r="N351" s="2" t="s">
        <v>427</v>
      </c>
      <c r="O351" s="42">
        <f t="shared" si="194"/>
        <v>90</v>
      </c>
      <c r="P351" s="42">
        <f t="shared" si="195"/>
        <v>104</v>
      </c>
      <c r="Q351" s="42" t="str">
        <f t="shared" si="196"/>
        <v>HL</v>
      </c>
      <c r="R351" s="42" t="str">
        <f t="shared" si="197"/>
        <v>HL</v>
      </c>
      <c r="S351" s="42" t="str">
        <f t="shared" si="198"/>
        <v>HL</v>
      </c>
      <c r="T351" s="42" t="str">
        <f t="shared" si="199"/>
        <v>HW</v>
      </c>
      <c r="U351" s="42" t="str">
        <f t="shared" si="200"/>
        <v>U</v>
      </c>
      <c r="V351" s="42" t="str">
        <f t="shared" si="201"/>
        <v>U</v>
      </c>
      <c r="W351" s="42" t="str">
        <f t="shared" si="202"/>
        <v>O</v>
      </c>
      <c r="X351" s="42" t="str">
        <f t="shared" si="203"/>
        <v>U</v>
      </c>
      <c r="Z351">
        <v>53.5</v>
      </c>
      <c r="AA351" s="42" t="str">
        <f t="shared" si="204"/>
        <v>UTA/OKC</v>
      </c>
    </row>
    <row r="352" spans="1:27" ht="17.100000000000001" x14ac:dyDescent="0.45">
      <c r="A352" s="42">
        <v>191210</v>
      </c>
      <c r="B352" s="44">
        <v>0.52083333333333337</v>
      </c>
      <c r="C352" s="42" t="s">
        <v>425</v>
      </c>
      <c r="D352" s="42" t="s">
        <v>406</v>
      </c>
      <c r="E352">
        <v>20</v>
      </c>
      <c r="F352">
        <v>27</v>
      </c>
      <c r="G352">
        <v>32</v>
      </c>
      <c r="H352">
        <v>23</v>
      </c>
      <c r="J352">
        <v>29</v>
      </c>
      <c r="K352">
        <v>25</v>
      </c>
      <c r="L352">
        <v>34</v>
      </c>
      <c r="M352">
        <v>22</v>
      </c>
      <c r="N352" s="2" t="s">
        <v>427</v>
      </c>
      <c r="O352" s="42">
        <f t="shared" si="194"/>
        <v>102</v>
      </c>
      <c r="P352" s="42">
        <f t="shared" si="195"/>
        <v>110</v>
      </c>
      <c r="Q352" s="42" t="str">
        <f t="shared" si="196"/>
        <v>HL</v>
      </c>
      <c r="R352" s="42" t="str">
        <f t="shared" si="197"/>
        <v>HW</v>
      </c>
      <c r="S352" s="42" t="str">
        <f t="shared" si="198"/>
        <v>HL</v>
      </c>
      <c r="T352" s="42" t="str">
        <f t="shared" si="199"/>
        <v>HW</v>
      </c>
      <c r="U352" s="42" t="str">
        <f t="shared" si="200"/>
        <v>U</v>
      </c>
      <c r="V352" s="42" t="str">
        <f t="shared" si="201"/>
        <v>U</v>
      </c>
      <c r="W352" s="42" t="str">
        <f t="shared" si="202"/>
        <v>O</v>
      </c>
      <c r="X352" s="42" t="str">
        <f t="shared" si="203"/>
        <v>U</v>
      </c>
      <c r="Z352">
        <v>54</v>
      </c>
      <c r="AA352" s="42" t="str">
        <f t="shared" si="204"/>
        <v>GS/MEM</v>
      </c>
    </row>
    <row r="353" spans="1:27" ht="17.100000000000001" x14ac:dyDescent="0.45">
      <c r="A353" s="42">
        <v>191211</v>
      </c>
      <c r="B353" s="44">
        <v>0.375</v>
      </c>
      <c r="C353" s="42" t="s">
        <v>409</v>
      </c>
      <c r="D353" s="42" t="s">
        <v>414</v>
      </c>
      <c r="E353">
        <v>28</v>
      </c>
      <c r="F353">
        <v>25</v>
      </c>
      <c r="G353">
        <v>29</v>
      </c>
      <c r="H353">
        <v>32</v>
      </c>
      <c r="J353">
        <v>20</v>
      </c>
      <c r="K353">
        <v>28</v>
      </c>
      <c r="L353">
        <v>27</v>
      </c>
      <c r="M353">
        <v>32</v>
      </c>
      <c r="N353" s="2" t="s">
        <v>427</v>
      </c>
      <c r="O353" s="42">
        <f t="shared" si="194"/>
        <v>114</v>
      </c>
      <c r="P353" s="42">
        <f t="shared" si="195"/>
        <v>107</v>
      </c>
      <c r="Q353" s="42" t="str">
        <f t="shared" si="196"/>
        <v>HW</v>
      </c>
      <c r="R353" s="42" t="str">
        <f t="shared" si="197"/>
        <v>HL</v>
      </c>
      <c r="S353" s="42" t="str">
        <f t="shared" si="198"/>
        <v>HW</v>
      </c>
      <c r="T353" s="42" t="str">
        <f t="shared" si="199"/>
        <v>TT</v>
      </c>
      <c r="U353" s="42" t="str">
        <f t="shared" si="200"/>
        <v>U</v>
      </c>
      <c r="V353" s="42" t="str">
        <f t="shared" si="201"/>
        <v>U</v>
      </c>
      <c r="W353" s="42" t="str">
        <f t="shared" si="202"/>
        <v>U</v>
      </c>
      <c r="X353" s="42" t="str">
        <f t="shared" si="203"/>
        <v>O</v>
      </c>
      <c r="Z353">
        <v>59</v>
      </c>
      <c r="AA353" s="42" t="str">
        <f t="shared" si="204"/>
        <v>CHA/WAS</v>
      </c>
    </row>
    <row r="354" spans="1:27" ht="17.100000000000001" x14ac:dyDescent="0.45">
      <c r="A354" s="42">
        <v>191211</v>
      </c>
      <c r="B354" s="44">
        <v>0.41666666666666669</v>
      </c>
      <c r="C354" s="42" t="s">
        <v>411</v>
      </c>
      <c r="D354" s="42" t="s">
        <v>410</v>
      </c>
      <c r="E354">
        <v>36</v>
      </c>
      <c r="F354">
        <v>30</v>
      </c>
      <c r="G354">
        <v>27</v>
      </c>
      <c r="H354">
        <v>24</v>
      </c>
      <c r="I354">
        <v>18</v>
      </c>
      <c r="J354">
        <v>30</v>
      </c>
      <c r="K354">
        <v>34</v>
      </c>
      <c r="L354">
        <v>32</v>
      </c>
      <c r="M354">
        <v>21</v>
      </c>
      <c r="N354" s="2">
        <v>4</v>
      </c>
      <c r="O354" s="42">
        <f t="shared" si="194"/>
        <v>135</v>
      </c>
      <c r="P354" s="42">
        <f t="shared" si="195"/>
        <v>121</v>
      </c>
      <c r="Q354" s="42" t="str">
        <f t="shared" si="196"/>
        <v>HW</v>
      </c>
      <c r="R354" s="42" t="str">
        <f t="shared" si="197"/>
        <v>HL</v>
      </c>
      <c r="S354" s="42" t="str">
        <f t="shared" si="198"/>
        <v>HL</v>
      </c>
      <c r="T354" s="42" t="str">
        <f t="shared" si="199"/>
        <v>HW</v>
      </c>
      <c r="U354" s="42" t="str">
        <f t="shared" si="200"/>
        <v>O</v>
      </c>
      <c r="V354" s="42" t="str">
        <f t="shared" si="201"/>
        <v>O</v>
      </c>
      <c r="W354" s="42" t="str">
        <f t="shared" si="202"/>
        <v>O</v>
      </c>
      <c r="X354" s="42" t="str">
        <f t="shared" si="203"/>
        <v>U</v>
      </c>
      <c r="Z354">
        <v>56.5</v>
      </c>
      <c r="AA354" s="42" t="str">
        <f t="shared" si="204"/>
        <v>MIA/ATL</v>
      </c>
    </row>
    <row r="355" spans="1:27" ht="17.100000000000001" x14ac:dyDescent="0.45">
      <c r="A355" s="42">
        <v>191211</v>
      </c>
      <c r="B355" s="44">
        <v>0.41666666666666669</v>
      </c>
      <c r="C355" s="42" t="s">
        <v>401</v>
      </c>
      <c r="D355" s="42" t="s">
        <v>408</v>
      </c>
      <c r="E355">
        <v>26</v>
      </c>
      <c r="F355">
        <v>29</v>
      </c>
      <c r="G355">
        <v>28</v>
      </c>
      <c r="H355">
        <v>14</v>
      </c>
      <c r="J355">
        <v>27</v>
      </c>
      <c r="K355">
        <v>23</v>
      </c>
      <c r="L355">
        <v>26</v>
      </c>
      <c r="M355">
        <v>16</v>
      </c>
      <c r="N355" s="2" t="s">
        <v>427</v>
      </c>
      <c r="O355" s="42">
        <f t="shared" si="194"/>
        <v>97</v>
      </c>
      <c r="P355" s="42">
        <f t="shared" si="195"/>
        <v>92</v>
      </c>
      <c r="Q355" s="42" t="str">
        <f t="shared" si="196"/>
        <v>HL</v>
      </c>
      <c r="R355" s="42" t="str">
        <f t="shared" si="197"/>
        <v>HW</v>
      </c>
      <c r="S355" s="42" t="str">
        <f t="shared" si="198"/>
        <v>HW</v>
      </c>
      <c r="T355" s="42" t="str">
        <f t="shared" si="199"/>
        <v>HL</v>
      </c>
      <c r="U355" s="42" t="str">
        <f t="shared" si="200"/>
        <v>U</v>
      </c>
      <c r="V355" s="42" t="str">
        <f t="shared" si="201"/>
        <v>U</v>
      </c>
      <c r="W355" s="42" t="str">
        <f t="shared" si="202"/>
        <v>O</v>
      </c>
      <c r="X355" s="42" t="str">
        <f t="shared" si="203"/>
        <v>U</v>
      </c>
      <c r="Z355">
        <v>53.5</v>
      </c>
      <c r="AA355" s="42" t="str">
        <f t="shared" si="204"/>
        <v>PHI/DEN</v>
      </c>
    </row>
    <row r="356" spans="1:27" ht="17.100000000000001" x14ac:dyDescent="0.45">
      <c r="A356" s="42">
        <v>191211</v>
      </c>
      <c r="B356" s="44">
        <v>0.5</v>
      </c>
      <c r="C356" s="42" t="s">
        <v>417</v>
      </c>
      <c r="D356" s="42" t="s">
        <v>399</v>
      </c>
      <c r="E356">
        <v>32</v>
      </c>
      <c r="F356">
        <v>28</v>
      </c>
      <c r="G356">
        <v>26</v>
      </c>
      <c r="H356">
        <v>29</v>
      </c>
      <c r="J356">
        <v>22</v>
      </c>
      <c r="K356">
        <v>19</v>
      </c>
      <c r="L356">
        <v>18</v>
      </c>
      <c r="M356">
        <v>28</v>
      </c>
      <c r="N356" s="2" t="s">
        <v>427</v>
      </c>
      <c r="O356" s="42">
        <f t="shared" si="194"/>
        <v>115</v>
      </c>
      <c r="P356" s="42">
        <f t="shared" si="195"/>
        <v>87</v>
      </c>
      <c r="Q356" s="42" t="str">
        <f t="shared" si="196"/>
        <v>HW</v>
      </c>
      <c r="R356" s="42" t="str">
        <f t="shared" si="197"/>
        <v>HW</v>
      </c>
      <c r="S356" s="42" t="str">
        <f t="shared" si="198"/>
        <v>HW</v>
      </c>
      <c r="T356" s="42" t="str">
        <f t="shared" si="199"/>
        <v>HW</v>
      </c>
      <c r="U356" s="42" t="str">
        <f t="shared" si="200"/>
        <v>U</v>
      </c>
      <c r="V356" s="42" t="str">
        <f t="shared" si="201"/>
        <v>U</v>
      </c>
      <c r="W356" s="42" t="str">
        <f t="shared" si="202"/>
        <v>U</v>
      </c>
      <c r="X356" s="42" t="str">
        <f t="shared" si="203"/>
        <v>T</v>
      </c>
      <c r="Z356">
        <v>57</v>
      </c>
      <c r="AA356" s="42" t="str">
        <f t="shared" si="204"/>
        <v>POR/NYK</v>
      </c>
    </row>
    <row r="357" spans="1:27" ht="17.100000000000001" x14ac:dyDescent="0.45">
      <c r="A357" s="42">
        <v>191212</v>
      </c>
      <c r="B357" s="44">
        <v>0.375</v>
      </c>
      <c r="C357" s="42" t="s">
        <v>402</v>
      </c>
      <c r="D357" s="42" t="s">
        <v>403</v>
      </c>
      <c r="E357">
        <v>29</v>
      </c>
      <c r="F357">
        <v>28</v>
      </c>
      <c r="G357">
        <v>25</v>
      </c>
      <c r="H357">
        <v>28</v>
      </c>
      <c r="J357">
        <v>35</v>
      </c>
      <c r="K357">
        <v>29</v>
      </c>
      <c r="L357">
        <v>24</v>
      </c>
      <c r="M357">
        <v>28</v>
      </c>
      <c r="N357" s="2" t="s">
        <v>427</v>
      </c>
      <c r="O357" s="42">
        <f t="shared" si="194"/>
        <v>110</v>
      </c>
      <c r="P357" s="42">
        <f t="shared" si="195"/>
        <v>116</v>
      </c>
      <c r="Q357" s="42" t="str">
        <f t="shared" si="196"/>
        <v>HL</v>
      </c>
      <c r="R357" s="42" t="str">
        <f t="shared" si="197"/>
        <v>HL</v>
      </c>
      <c r="S357" s="42" t="str">
        <f t="shared" si="198"/>
        <v>HW</v>
      </c>
      <c r="T357" s="42" t="str">
        <f t="shared" si="199"/>
        <v>TT</v>
      </c>
      <c r="U357" s="42" t="str">
        <f t="shared" si="200"/>
        <v>O</v>
      </c>
      <c r="V357" s="42" t="str">
        <f t="shared" si="201"/>
        <v>U</v>
      </c>
      <c r="W357" s="42" t="str">
        <f t="shared" si="202"/>
        <v>U</v>
      </c>
      <c r="X357" s="42" t="str">
        <f t="shared" si="203"/>
        <v>U</v>
      </c>
      <c r="Z357">
        <v>59</v>
      </c>
      <c r="AA357" s="42" t="str">
        <f t="shared" si="204"/>
        <v>CLE/HOU</v>
      </c>
    </row>
    <row r="358" spans="1:27" ht="17.100000000000001" x14ac:dyDescent="0.45">
      <c r="A358" s="42">
        <v>191212</v>
      </c>
      <c r="B358" s="44">
        <v>0.375</v>
      </c>
      <c r="C358" s="42" t="s">
        <v>400</v>
      </c>
      <c r="D358" s="42" t="s">
        <v>421</v>
      </c>
      <c r="E358">
        <v>30</v>
      </c>
      <c r="F358">
        <v>31</v>
      </c>
      <c r="G358">
        <v>23</v>
      </c>
      <c r="H358">
        <v>38</v>
      </c>
      <c r="J358">
        <v>32</v>
      </c>
      <c r="K358">
        <v>25</v>
      </c>
      <c r="L358">
        <v>37</v>
      </c>
      <c r="M358">
        <v>23</v>
      </c>
      <c r="N358" s="2" t="s">
        <v>427</v>
      </c>
      <c r="O358" s="42">
        <f t="shared" si="194"/>
        <v>122</v>
      </c>
      <c r="P358" s="42">
        <f t="shared" si="195"/>
        <v>117</v>
      </c>
      <c r="Q358" s="42" t="str">
        <f t="shared" si="196"/>
        <v>HL</v>
      </c>
      <c r="R358" s="42" t="str">
        <f t="shared" si="197"/>
        <v>HW</v>
      </c>
      <c r="S358" s="42" t="str">
        <f t="shared" si="198"/>
        <v>HL</v>
      </c>
      <c r="T358" s="42" t="str">
        <f t="shared" si="199"/>
        <v>HW</v>
      </c>
      <c r="U358" s="42" t="str">
        <f t="shared" si="200"/>
        <v>O</v>
      </c>
      <c r="V358" s="42" t="str">
        <f t="shared" si="201"/>
        <v>O</v>
      </c>
      <c r="W358" s="42" t="str">
        <f t="shared" si="202"/>
        <v>O</v>
      </c>
      <c r="X358" s="42" t="str">
        <f t="shared" si="203"/>
        <v>O</v>
      </c>
      <c r="Z358">
        <v>51.5</v>
      </c>
      <c r="AA358" s="42" t="str">
        <f t="shared" si="204"/>
        <v>IND/BOS</v>
      </c>
    </row>
    <row r="359" spans="1:27" ht="17.100000000000001" x14ac:dyDescent="0.45">
      <c r="A359" s="42">
        <v>191212</v>
      </c>
      <c r="B359" s="44">
        <v>0.375</v>
      </c>
      <c r="C359" s="42" t="s">
        <v>424</v>
      </c>
      <c r="D359" s="42" t="s">
        <v>419</v>
      </c>
      <c r="E359">
        <v>9</v>
      </c>
      <c r="F359">
        <v>29</v>
      </c>
      <c r="G359">
        <v>27</v>
      </c>
      <c r="H359">
        <v>22</v>
      </c>
      <c r="J359">
        <v>26</v>
      </c>
      <c r="K359">
        <v>25</v>
      </c>
      <c r="L359">
        <v>18</v>
      </c>
      <c r="M359">
        <v>27</v>
      </c>
      <c r="N359" s="2" t="s">
        <v>427</v>
      </c>
      <c r="O359" s="42">
        <f t="shared" si="194"/>
        <v>87</v>
      </c>
      <c r="P359" s="42">
        <f t="shared" si="195"/>
        <v>96</v>
      </c>
      <c r="Q359" s="42" t="str">
        <f t="shared" si="196"/>
        <v>HL</v>
      </c>
      <c r="R359" s="42" t="str">
        <f t="shared" si="197"/>
        <v>HW</v>
      </c>
      <c r="S359" s="42" t="str">
        <f t="shared" si="198"/>
        <v>HW</v>
      </c>
      <c r="T359" s="42" t="str">
        <f t="shared" si="199"/>
        <v>HL</v>
      </c>
      <c r="U359" s="42" t="str">
        <f t="shared" si="200"/>
        <v>U</v>
      </c>
      <c r="V359" s="42" t="str">
        <f t="shared" si="201"/>
        <v>U</v>
      </c>
      <c r="W359" s="42" t="str">
        <f t="shared" si="202"/>
        <v>U</v>
      </c>
      <c r="X359" s="42" t="str">
        <f t="shared" si="203"/>
        <v>U</v>
      </c>
      <c r="Z359">
        <v>55</v>
      </c>
      <c r="AA359" s="42" t="str">
        <f t="shared" si="204"/>
        <v>ORL/LAL</v>
      </c>
    </row>
    <row r="360" spans="1:27" ht="17.100000000000001" x14ac:dyDescent="0.45">
      <c r="A360" s="42">
        <v>191212</v>
      </c>
      <c r="B360" s="44">
        <v>0.375</v>
      </c>
      <c r="C360" s="42" t="s">
        <v>413</v>
      </c>
      <c r="D360" s="42" t="s">
        <v>415</v>
      </c>
      <c r="E360">
        <v>32</v>
      </c>
      <c r="F360">
        <v>14</v>
      </c>
      <c r="G360">
        <v>25</v>
      </c>
      <c r="H360">
        <v>21</v>
      </c>
      <c r="J360">
        <v>27</v>
      </c>
      <c r="K360">
        <v>37</v>
      </c>
      <c r="L360">
        <v>24</v>
      </c>
      <c r="M360">
        <v>24</v>
      </c>
      <c r="N360" s="2" t="s">
        <v>427</v>
      </c>
      <c r="O360" s="42">
        <f t="shared" si="194"/>
        <v>92</v>
      </c>
      <c r="P360" s="42">
        <f t="shared" si="195"/>
        <v>112</v>
      </c>
      <c r="Q360" s="42" t="str">
        <f t="shared" si="196"/>
        <v>HW</v>
      </c>
      <c r="R360" s="42" t="str">
        <f t="shared" si="197"/>
        <v>HL</v>
      </c>
      <c r="S360" s="42" t="str">
        <f t="shared" si="198"/>
        <v>HW</v>
      </c>
      <c r="T360" s="42" t="str">
        <f t="shared" si="199"/>
        <v>HL</v>
      </c>
      <c r="U360" s="42" t="str">
        <f t="shared" si="200"/>
        <v>O</v>
      </c>
      <c r="V360" s="42" t="str">
        <f t="shared" si="201"/>
        <v>U</v>
      </c>
      <c r="W360" s="42" t="str">
        <f t="shared" si="202"/>
        <v>U</v>
      </c>
      <c r="X360" s="42" t="str">
        <f t="shared" si="203"/>
        <v>U</v>
      </c>
      <c r="Z360">
        <v>57</v>
      </c>
      <c r="AA360" s="42" t="str">
        <f t="shared" si="204"/>
        <v>TOR/LAC</v>
      </c>
    </row>
    <row r="361" spans="1:27" ht="17.100000000000001" x14ac:dyDescent="0.45">
      <c r="A361" s="42">
        <v>191212</v>
      </c>
      <c r="B361" s="44">
        <v>0.39583333333333331</v>
      </c>
      <c r="C361" s="42" t="s">
        <v>407</v>
      </c>
      <c r="D361" s="42" t="s">
        <v>409</v>
      </c>
      <c r="E361">
        <v>34</v>
      </c>
      <c r="F361">
        <v>30</v>
      </c>
      <c r="G361">
        <v>22</v>
      </c>
      <c r="H361">
        <v>22</v>
      </c>
      <c r="J361">
        <v>26</v>
      </c>
      <c r="K361">
        <v>27</v>
      </c>
      <c r="L361">
        <v>31</v>
      </c>
      <c r="M361">
        <v>29</v>
      </c>
      <c r="N361" s="2" t="s">
        <v>427</v>
      </c>
      <c r="O361" s="42">
        <f t="shared" si="194"/>
        <v>108</v>
      </c>
      <c r="P361" s="42">
        <f t="shared" si="195"/>
        <v>113</v>
      </c>
      <c r="Q361" s="42" t="str">
        <f t="shared" si="196"/>
        <v>HW</v>
      </c>
      <c r="R361" s="42" t="str">
        <f t="shared" si="197"/>
        <v>HW</v>
      </c>
      <c r="S361" s="42" t="str">
        <f t="shared" si="198"/>
        <v>HL</v>
      </c>
      <c r="T361" s="42" t="str">
        <f t="shared" si="199"/>
        <v>HL</v>
      </c>
      <c r="U361" s="42" t="str">
        <f t="shared" si="200"/>
        <v>O</v>
      </c>
      <c r="V361" s="42" t="str">
        <f t="shared" si="201"/>
        <v>O</v>
      </c>
      <c r="W361" s="42" t="str">
        <f t="shared" si="202"/>
        <v>U</v>
      </c>
      <c r="X361" s="42" t="str">
        <f t="shared" si="203"/>
        <v>U</v>
      </c>
      <c r="Z361">
        <v>55.5</v>
      </c>
      <c r="AA361" s="42" t="str">
        <f t="shared" si="204"/>
        <v>BKN/CHA</v>
      </c>
    </row>
    <row r="362" spans="1:27" ht="17.100000000000001" x14ac:dyDescent="0.45">
      <c r="A362" s="42">
        <v>191212</v>
      </c>
      <c r="B362" s="44">
        <v>0.41666666666666669</v>
      </c>
      <c r="C362" s="42" t="s">
        <v>412</v>
      </c>
      <c r="D362" s="42" t="s">
        <v>410</v>
      </c>
      <c r="E362">
        <v>37</v>
      </c>
      <c r="F362">
        <v>29</v>
      </c>
      <c r="G362">
        <v>40</v>
      </c>
      <c r="H362">
        <v>30</v>
      </c>
      <c r="J362">
        <v>33</v>
      </c>
      <c r="K362">
        <v>19</v>
      </c>
      <c r="L362">
        <v>35</v>
      </c>
      <c r="M362">
        <v>15</v>
      </c>
      <c r="N362" s="2" t="s">
        <v>427</v>
      </c>
      <c r="O362" s="42">
        <f t="shared" si="194"/>
        <v>136</v>
      </c>
      <c r="P362" s="42">
        <f t="shared" si="195"/>
        <v>102</v>
      </c>
      <c r="Q362" s="42" t="str">
        <f t="shared" si="196"/>
        <v>HW</v>
      </c>
      <c r="R362" s="42" t="str">
        <f t="shared" si="197"/>
        <v>HW</v>
      </c>
      <c r="S362" s="42" t="str">
        <f t="shared" si="198"/>
        <v>HW</v>
      </c>
      <c r="T362" s="42" t="str">
        <f t="shared" si="199"/>
        <v>HW</v>
      </c>
      <c r="U362" s="42" t="str">
        <f t="shared" si="200"/>
        <v>O</v>
      </c>
      <c r="V362" s="42" t="str">
        <f t="shared" si="201"/>
        <v>U</v>
      </c>
      <c r="W362" s="42" t="str">
        <f t="shared" si="202"/>
        <v>O</v>
      </c>
      <c r="X362" s="42" t="str">
        <f t="shared" si="203"/>
        <v>U</v>
      </c>
      <c r="Z362">
        <v>57</v>
      </c>
      <c r="AA362" s="42" t="str">
        <f t="shared" si="204"/>
        <v>CHI/ATL</v>
      </c>
    </row>
    <row r="363" spans="1:27" ht="17.100000000000001" x14ac:dyDescent="0.45">
      <c r="A363" s="42">
        <v>191212</v>
      </c>
      <c r="B363" s="44">
        <v>0.41666666666666669</v>
      </c>
      <c r="C363" s="42" t="s">
        <v>420</v>
      </c>
      <c r="D363" s="42" t="s">
        <v>405</v>
      </c>
      <c r="E363">
        <v>23</v>
      </c>
      <c r="F363">
        <v>36</v>
      </c>
      <c r="G363">
        <v>24</v>
      </c>
      <c r="H363">
        <v>33</v>
      </c>
      <c r="J363">
        <v>25</v>
      </c>
      <c r="K363">
        <v>34</v>
      </c>
      <c r="L363">
        <v>38</v>
      </c>
      <c r="M363">
        <v>30</v>
      </c>
      <c r="N363" s="2" t="s">
        <v>427</v>
      </c>
      <c r="O363" s="42">
        <f t="shared" si="194"/>
        <v>116</v>
      </c>
      <c r="P363" s="42">
        <f t="shared" si="195"/>
        <v>127</v>
      </c>
      <c r="Q363" s="42" t="str">
        <f t="shared" si="196"/>
        <v>HL</v>
      </c>
      <c r="R363" s="42" t="str">
        <f t="shared" si="197"/>
        <v>HW</v>
      </c>
      <c r="S363" s="42" t="str">
        <f t="shared" si="198"/>
        <v>HL</v>
      </c>
      <c r="T363" s="42" t="str">
        <f t="shared" si="199"/>
        <v>HW</v>
      </c>
      <c r="U363" s="42" t="str">
        <f t="shared" si="200"/>
        <v>U</v>
      </c>
      <c r="V363" s="42" t="str">
        <f t="shared" si="201"/>
        <v>O</v>
      </c>
      <c r="W363" s="42" t="str">
        <f t="shared" si="202"/>
        <v>O</v>
      </c>
      <c r="X363" s="42" t="str">
        <f t="shared" si="203"/>
        <v>O</v>
      </c>
      <c r="Z363">
        <v>54</v>
      </c>
      <c r="AA363" s="42" t="str">
        <f t="shared" si="204"/>
        <v>MIN/UTA</v>
      </c>
    </row>
    <row r="364" spans="1:27" ht="17.100000000000001" x14ac:dyDescent="0.45">
      <c r="A364" s="42">
        <v>191212</v>
      </c>
      <c r="B364" s="44">
        <v>0.45833333333333331</v>
      </c>
      <c r="C364" s="42" t="s">
        <v>404</v>
      </c>
      <c r="D364" s="42" t="s">
        <v>406</v>
      </c>
      <c r="E364">
        <v>19</v>
      </c>
      <c r="F364">
        <v>32</v>
      </c>
      <c r="G364">
        <v>28</v>
      </c>
      <c r="H364">
        <v>29</v>
      </c>
      <c r="J364">
        <v>27</v>
      </c>
      <c r="K364">
        <v>24</v>
      </c>
      <c r="L364">
        <v>33</v>
      </c>
      <c r="M364">
        <v>31</v>
      </c>
      <c r="N364" s="2" t="s">
        <v>427</v>
      </c>
      <c r="O364" s="42">
        <f t="shared" si="194"/>
        <v>108</v>
      </c>
      <c r="P364" s="42">
        <f t="shared" si="195"/>
        <v>115</v>
      </c>
      <c r="Q364" s="42" t="str">
        <f t="shared" si="196"/>
        <v>HL</v>
      </c>
      <c r="R364" s="42" t="str">
        <f t="shared" si="197"/>
        <v>HW</v>
      </c>
      <c r="S364" s="42" t="str">
        <f t="shared" si="198"/>
        <v>HL</v>
      </c>
      <c r="T364" s="42" t="str">
        <f t="shared" si="199"/>
        <v>HL</v>
      </c>
      <c r="U364" s="42" t="str">
        <f t="shared" si="200"/>
        <v>U</v>
      </c>
      <c r="V364" s="42" t="str">
        <f t="shared" si="201"/>
        <v>U</v>
      </c>
      <c r="W364" s="42" t="str">
        <f t="shared" si="202"/>
        <v>O</v>
      </c>
      <c r="X364" s="42" t="str">
        <f t="shared" si="203"/>
        <v>O</v>
      </c>
      <c r="Z364">
        <v>57</v>
      </c>
      <c r="AA364" s="42" t="str">
        <f t="shared" si="204"/>
        <v>PHO/MEM</v>
      </c>
    </row>
    <row r="365" spans="1:27" ht="17.100000000000001" x14ac:dyDescent="0.45">
      <c r="A365" s="42">
        <v>191212</v>
      </c>
      <c r="B365" s="44">
        <v>0.47916666666666669</v>
      </c>
      <c r="C365" s="42" t="s">
        <v>423</v>
      </c>
      <c r="D365" s="42" t="s">
        <v>398</v>
      </c>
      <c r="E365">
        <v>35</v>
      </c>
      <c r="F365">
        <v>34</v>
      </c>
      <c r="G365">
        <v>36</v>
      </c>
      <c r="H365">
        <v>22</v>
      </c>
      <c r="J365">
        <v>20</v>
      </c>
      <c r="K365">
        <v>26</v>
      </c>
      <c r="L365">
        <v>40</v>
      </c>
      <c r="M365">
        <v>26</v>
      </c>
      <c r="N365" s="2" t="s">
        <v>427</v>
      </c>
      <c r="O365" s="42">
        <f t="shared" si="194"/>
        <v>127</v>
      </c>
      <c r="P365" s="42">
        <f t="shared" si="195"/>
        <v>112</v>
      </c>
      <c r="Q365" s="42" t="str">
        <f t="shared" si="196"/>
        <v>HW</v>
      </c>
      <c r="R365" s="42" t="str">
        <f t="shared" si="197"/>
        <v>HW</v>
      </c>
      <c r="S365" s="42" t="str">
        <f t="shared" si="198"/>
        <v>HL</v>
      </c>
      <c r="T365" s="42" t="str">
        <f t="shared" si="199"/>
        <v>HL</v>
      </c>
      <c r="U365" s="42" t="str">
        <f t="shared" si="200"/>
        <v>U</v>
      </c>
      <c r="V365" s="42" t="str">
        <f t="shared" si="201"/>
        <v>T</v>
      </c>
      <c r="W365" s="42" t="str">
        <f t="shared" si="202"/>
        <v>O</v>
      </c>
      <c r="X365" s="42" t="str">
        <f t="shared" si="203"/>
        <v>U</v>
      </c>
      <c r="Z365">
        <v>60</v>
      </c>
      <c r="AA365" s="42" t="str">
        <f t="shared" si="204"/>
        <v>MIL/NO</v>
      </c>
    </row>
    <row r="366" spans="1:27" ht="17.100000000000001" x14ac:dyDescent="0.45">
      <c r="A366" s="42">
        <v>191212</v>
      </c>
      <c r="B366" s="44">
        <v>0.5</v>
      </c>
      <c r="C366" s="42" t="s">
        <v>416</v>
      </c>
      <c r="D366" s="42" t="s">
        <v>418</v>
      </c>
      <c r="E366">
        <v>23</v>
      </c>
      <c r="F366">
        <v>15</v>
      </c>
      <c r="G366">
        <v>31</v>
      </c>
      <c r="H366">
        <v>25</v>
      </c>
      <c r="J366">
        <v>18</v>
      </c>
      <c r="K366">
        <v>29</v>
      </c>
      <c r="L366">
        <v>24</v>
      </c>
      <c r="M366">
        <v>22</v>
      </c>
      <c r="N366" s="2" t="s">
        <v>427</v>
      </c>
      <c r="O366" s="42">
        <f t="shared" si="194"/>
        <v>94</v>
      </c>
      <c r="P366" s="42">
        <f t="shared" si="195"/>
        <v>93</v>
      </c>
      <c r="Q366" s="42" t="str">
        <f t="shared" si="196"/>
        <v>HW</v>
      </c>
      <c r="R366" s="42" t="str">
        <f t="shared" si="197"/>
        <v>HL</v>
      </c>
      <c r="S366" s="42" t="str">
        <f t="shared" si="198"/>
        <v>HW</v>
      </c>
      <c r="T366" s="42" t="str">
        <f t="shared" si="199"/>
        <v>HW</v>
      </c>
      <c r="U366" s="42" t="str">
        <f t="shared" si="200"/>
        <v>U</v>
      </c>
      <c r="V366" s="42" t="str">
        <f t="shared" si="201"/>
        <v>U</v>
      </c>
      <c r="W366" s="42" t="str">
        <f t="shared" si="202"/>
        <v>O</v>
      </c>
      <c r="X366" s="42" t="str">
        <f t="shared" si="203"/>
        <v>U</v>
      </c>
      <c r="Z366">
        <v>53.5</v>
      </c>
      <c r="AA366" s="42" t="str">
        <f t="shared" si="204"/>
        <v>SAC/OKC</v>
      </c>
    </row>
    <row r="367" spans="1:27" ht="17.100000000000001" x14ac:dyDescent="0.45">
      <c r="A367" s="42">
        <v>191212</v>
      </c>
      <c r="B367" s="44">
        <v>0.52083333333333337</v>
      </c>
      <c r="C367" s="42" t="s">
        <v>425</v>
      </c>
      <c r="D367" s="42" t="s">
        <v>399</v>
      </c>
      <c r="E367">
        <v>20</v>
      </c>
      <c r="F367">
        <v>30</v>
      </c>
      <c r="G367">
        <v>30</v>
      </c>
      <c r="H367">
        <v>32</v>
      </c>
      <c r="I367">
        <v>10</v>
      </c>
      <c r="J367">
        <v>30</v>
      </c>
      <c r="K367">
        <v>38</v>
      </c>
      <c r="L367">
        <v>19</v>
      </c>
      <c r="M367">
        <v>25</v>
      </c>
      <c r="N367" s="2">
        <v>12</v>
      </c>
      <c r="O367" s="42">
        <f t="shared" si="194"/>
        <v>122</v>
      </c>
      <c r="P367" s="42">
        <f t="shared" si="195"/>
        <v>124</v>
      </c>
      <c r="Q367" s="42" t="str">
        <f t="shared" si="196"/>
        <v>HL</v>
      </c>
      <c r="R367" s="42" t="str">
        <f t="shared" si="197"/>
        <v>HL</v>
      </c>
      <c r="S367" s="42" t="str">
        <f t="shared" si="198"/>
        <v>HW</v>
      </c>
      <c r="T367" s="42" t="str">
        <f t="shared" si="199"/>
        <v>HW</v>
      </c>
      <c r="U367" s="42" t="str">
        <f t="shared" si="200"/>
        <v>U</v>
      </c>
      <c r="V367" s="42" t="str">
        <f t="shared" si="201"/>
        <v>O</v>
      </c>
      <c r="W367" s="42" t="str">
        <f t="shared" si="202"/>
        <v>U</v>
      </c>
      <c r="X367" s="42" t="str">
        <f t="shared" si="203"/>
        <v>O</v>
      </c>
      <c r="Z367">
        <v>54</v>
      </c>
      <c r="AA367" s="42" t="str">
        <f t="shared" si="204"/>
        <v>GS/NYK</v>
      </c>
    </row>
    <row r="368" spans="1:27" ht="17.100000000000001" x14ac:dyDescent="0.45">
      <c r="A368" s="42">
        <v>191213</v>
      </c>
      <c r="B368" s="44">
        <v>0.41666666666666669</v>
      </c>
      <c r="C368" s="42" t="s">
        <v>421</v>
      </c>
      <c r="D368" s="42" t="s">
        <v>401</v>
      </c>
      <c r="E368">
        <v>34</v>
      </c>
      <c r="F368">
        <v>25</v>
      </c>
      <c r="G368">
        <v>21</v>
      </c>
      <c r="H368">
        <v>29</v>
      </c>
      <c r="J368">
        <v>28</v>
      </c>
      <c r="K368">
        <v>28</v>
      </c>
      <c r="L368">
        <v>25</v>
      </c>
      <c r="M368">
        <v>34</v>
      </c>
      <c r="N368" s="2" t="s">
        <v>427</v>
      </c>
      <c r="O368" s="42">
        <f t="shared" si="194"/>
        <v>109</v>
      </c>
      <c r="P368" s="42">
        <f t="shared" si="195"/>
        <v>115</v>
      </c>
      <c r="Q368" s="42" t="str">
        <f t="shared" si="196"/>
        <v>HW</v>
      </c>
      <c r="R368" s="42" t="str">
        <f t="shared" si="197"/>
        <v>HL</v>
      </c>
      <c r="S368" s="42" t="str">
        <f t="shared" si="198"/>
        <v>HL</v>
      </c>
      <c r="T368" s="42" t="str">
        <f t="shared" si="199"/>
        <v>HL</v>
      </c>
      <c r="U368" s="42" t="str">
        <f t="shared" si="200"/>
        <v>O</v>
      </c>
      <c r="V368" s="42" t="str">
        <f t="shared" si="201"/>
        <v>O</v>
      </c>
      <c r="W368" s="42" t="str">
        <f t="shared" si="202"/>
        <v>U</v>
      </c>
      <c r="X368" s="42" t="str">
        <f t="shared" si="203"/>
        <v>O</v>
      </c>
      <c r="Z368">
        <v>52</v>
      </c>
      <c r="AA368" s="42" t="str">
        <f t="shared" si="204"/>
        <v>BOS/PHI</v>
      </c>
    </row>
    <row r="369" spans="1:27" ht="17.100000000000001" x14ac:dyDescent="0.45">
      <c r="A369" s="42">
        <v>191213</v>
      </c>
      <c r="B369" s="44">
        <v>0.4375</v>
      </c>
      <c r="C369" s="42" t="s">
        <v>426</v>
      </c>
      <c r="D369" s="42" t="s">
        <v>402</v>
      </c>
      <c r="E369">
        <v>19</v>
      </c>
      <c r="F369">
        <v>24</v>
      </c>
      <c r="G369">
        <v>25</v>
      </c>
      <c r="H369">
        <v>35</v>
      </c>
      <c r="I369">
        <v>6</v>
      </c>
      <c r="J369">
        <v>28</v>
      </c>
      <c r="K369">
        <v>25</v>
      </c>
      <c r="L369">
        <v>25</v>
      </c>
      <c r="M369">
        <v>25</v>
      </c>
      <c r="N369" s="2">
        <v>14</v>
      </c>
      <c r="O369" s="42">
        <f t="shared" si="194"/>
        <v>109</v>
      </c>
      <c r="P369" s="42">
        <f t="shared" si="195"/>
        <v>117</v>
      </c>
      <c r="Q369" s="42" t="str">
        <f t="shared" si="196"/>
        <v>HL</v>
      </c>
      <c r="R369" s="42" t="str">
        <f t="shared" si="197"/>
        <v>HL</v>
      </c>
      <c r="S369" s="42" t="str">
        <f t="shared" si="198"/>
        <v>TT</v>
      </c>
      <c r="T369" s="42" t="str">
        <f t="shared" si="199"/>
        <v>HW</v>
      </c>
      <c r="U369" s="42" t="str">
        <f t="shared" si="200"/>
        <v>U</v>
      </c>
      <c r="V369" s="42" t="str">
        <f t="shared" si="201"/>
        <v>U</v>
      </c>
      <c r="W369" s="42" t="str">
        <f t="shared" si="202"/>
        <v>U</v>
      </c>
      <c r="X369" s="42" t="str">
        <f t="shared" si="203"/>
        <v>O</v>
      </c>
      <c r="Z369">
        <v>54</v>
      </c>
      <c r="AA369" s="42" t="str">
        <f t="shared" si="204"/>
        <v>SAS/CLE</v>
      </c>
    </row>
    <row r="370" spans="1:27" ht="17.100000000000001" x14ac:dyDescent="0.45">
      <c r="A370" s="42">
        <v>191213</v>
      </c>
      <c r="B370" s="44">
        <v>0.45833333333333331</v>
      </c>
      <c r="C370" s="42" t="s">
        <v>422</v>
      </c>
      <c r="D370" s="42" t="s">
        <v>397</v>
      </c>
      <c r="E370">
        <v>29</v>
      </c>
      <c r="F370">
        <v>29</v>
      </c>
      <c r="G370">
        <v>27</v>
      </c>
      <c r="H370">
        <v>26</v>
      </c>
      <c r="J370">
        <v>34</v>
      </c>
      <c r="K370">
        <v>31</v>
      </c>
      <c r="L370">
        <v>30</v>
      </c>
      <c r="M370">
        <v>27</v>
      </c>
      <c r="N370" s="2" t="s">
        <v>427</v>
      </c>
      <c r="O370" s="42">
        <f t="shared" si="194"/>
        <v>111</v>
      </c>
      <c r="P370" s="42">
        <f t="shared" si="195"/>
        <v>122</v>
      </c>
      <c r="Q370" s="42" t="str">
        <f t="shared" si="196"/>
        <v>HL</v>
      </c>
      <c r="R370" s="42" t="str">
        <f t="shared" si="197"/>
        <v>HL</v>
      </c>
      <c r="S370" s="42" t="str">
        <f t="shared" si="198"/>
        <v>HL</v>
      </c>
      <c r="T370" s="42" t="str">
        <f t="shared" si="199"/>
        <v>HL</v>
      </c>
      <c r="U370" s="42" t="str">
        <f t="shared" si="200"/>
        <v>O</v>
      </c>
      <c r="V370" s="42" t="str">
        <f t="shared" si="201"/>
        <v>O</v>
      </c>
      <c r="W370" s="42" t="str">
        <f t="shared" si="202"/>
        <v>O</v>
      </c>
      <c r="X370" s="42" t="str">
        <f t="shared" si="203"/>
        <v>U</v>
      </c>
      <c r="Z370">
        <v>56.5</v>
      </c>
      <c r="AA370" s="42" t="str">
        <f t="shared" si="204"/>
        <v>DET/DAL</v>
      </c>
    </row>
    <row r="371" spans="1:27" ht="17.100000000000001" x14ac:dyDescent="0.45">
      <c r="A371" s="42">
        <v>191213</v>
      </c>
      <c r="B371" s="44">
        <v>0.52083333333333337</v>
      </c>
      <c r="C371" s="42" t="s">
        <v>408</v>
      </c>
      <c r="D371" s="42" t="s">
        <v>417</v>
      </c>
      <c r="E371">
        <v>33</v>
      </c>
      <c r="F371">
        <v>29</v>
      </c>
      <c r="G371">
        <v>27</v>
      </c>
      <c r="H371">
        <v>25</v>
      </c>
      <c r="J371">
        <v>26</v>
      </c>
      <c r="K371">
        <v>27</v>
      </c>
      <c r="L371">
        <v>25</v>
      </c>
      <c r="M371">
        <v>21</v>
      </c>
      <c r="N371" s="2" t="s">
        <v>427</v>
      </c>
      <c r="O371" s="42">
        <f t="shared" si="194"/>
        <v>114</v>
      </c>
      <c r="P371" s="42">
        <f t="shared" si="195"/>
        <v>99</v>
      </c>
      <c r="Q371" s="42" t="str">
        <f t="shared" si="196"/>
        <v>HW</v>
      </c>
      <c r="R371" s="42" t="str">
        <f t="shared" si="197"/>
        <v>HW</v>
      </c>
      <c r="S371" s="42" t="str">
        <f t="shared" si="198"/>
        <v>HW</v>
      </c>
      <c r="T371" s="42" t="str">
        <f t="shared" si="199"/>
        <v>HW</v>
      </c>
      <c r="U371" s="42" t="str">
        <f t="shared" si="200"/>
        <v>O</v>
      </c>
      <c r="V371" s="42" t="str">
        <f t="shared" si="201"/>
        <v>O</v>
      </c>
      <c r="W371" s="42" t="str">
        <f t="shared" si="202"/>
        <v>U</v>
      </c>
      <c r="X371" s="42" t="str">
        <f t="shared" si="203"/>
        <v>U</v>
      </c>
      <c r="Z371">
        <v>54.5</v>
      </c>
      <c r="AA371" s="42" t="str">
        <f t="shared" si="204"/>
        <v>DEN/POR</v>
      </c>
    </row>
    <row r="372" spans="1:27" ht="17.100000000000001" x14ac:dyDescent="0.45">
      <c r="A372" s="42">
        <v>191214</v>
      </c>
      <c r="B372" s="44">
        <v>0.375</v>
      </c>
      <c r="C372" s="42" t="s">
        <v>411</v>
      </c>
      <c r="D372" s="42" t="s">
        <v>419</v>
      </c>
      <c r="E372">
        <v>29</v>
      </c>
      <c r="F372">
        <v>30</v>
      </c>
      <c r="G372">
        <v>26</v>
      </c>
      <c r="H372">
        <v>25</v>
      </c>
      <c r="J372">
        <v>30</v>
      </c>
      <c r="K372">
        <v>21</v>
      </c>
      <c r="L372">
        <v>37</v>
      </c>
      <c r="M372">
        <v>25</v>
      </c>
      <c r="N372" s="2" t="s">
        <v>427</v>
      </c>
      <c r="O372" s="42">
        <f t="shared" si="194"/>
        <v>110</v>
      </c>
      <c r="P372" s="42">
        <f t="shared" si="195"/>
        <v>113</v>
      </c>
      <c r="Q372" s="42" t="str">
        <f t="shared" si="196"/>
        <v>HL</v>
      </c>
      <c r="R372" s="42" t="str">
        <f t="shared" si="197"/>
        <v>HW</v>
      </c>
      <c r="S372" s="42" t="str">
        <f t="shared" si="198"/>
        <v>HL</v>
      </c>
      <c r="T372" s="42" t="str">
        <f t="shared" si="199"/>
        <v>TT</v>
      </c>
      <c r="U372" s="42" t="str">
        <f t="shared" si="200"/>
        <v>O</v>
      </c>
      <c r="V372" s="42" t="str">
        <f t="shared" si="201"/>
        <v>U</v>
      </c>
      <c r="W372" s="42" t="str">
        <f t="shared" si="202"/>
        <v>O</v>
      </c>
      <c r="X372" s="42" t="str">
        <f t="shared" si="203"/>
        <v>U</v>
      </c>
      <c r="Z372">
        <v>55</v>
      </c>
      <c r="AA372" s="42" t="str">
        <f t="shared" si="204"/>
        <v>MIA/LAL</v>
      </c>
    </row>
    <row r="373" spans="1:27" ht="17.100000000000001" x14ac:dyDescent="0.45">
      <c r="A373" s="42">
        <v>191214</v>
      </c>
      <c r="B373" s="44">
        <v>0.375</v>
      </c>
      <c r="C373" s="42" t="s">
        <v>424</v>
      </c>
      <c r="D373" s="42" t="s">
        <v>403</v>
      </c>
      <c r="E373">
        <v>22</v>
      </c>
      <c r="F373">
        <v>33</v>
      </c>
      <c r="G373">
        <v>23</v>
      </c>
      <c r="H373">
        <v>29</v>
      </c>
      <c r="J373">
        <v>28</v>
      </c>
      <c r="K373">
        <v>34</v>
      </c>
      <c r="L373">
        <v>34</v>
      </c>
      <c r="M373">
        <v>34</v>
      </c>
      <c r="N373" s="2" t="s">
        <v>427</v>
      </c>
      <c r="O373" s="42">
        <f t="shared" si="194"/>
        <v>107</v>
      </c>
      <c r="P373" s="42">
        <f t="shared" si="195"/>
        <v>130</v>
      </c>
      <c r="Q373" s="42" t="str">
        <f t="shared" si="196"/>
        <v>HL</v>
      </c>
      <c r="R373" s="42" t="str">
        <f t="shared" si="197"/>
        <v>HL</v>
      </c>
      <c r="S373" s="42" t="str">
        <f t="shared" si="198"/>
        <v>HL</v>
      </c>
      <c r="T373" s="42" t="str">
        <f t="shared" si="199"/>
        <v>HL</v>
      </c>
      <c r="U373" s="42" t="str">
        <f t="shared" si="200"/>
        <v>U</v>
      </c>
      <c r="V373" s="42" t="str">
        <f t="shared" si="201"/>
        <v>O</v>
      </c>
      <c r="W373" s="42" t="str">
        <f t="shared" si="202"/>
        <v>T</v>
      </c>
      <c r="X373" s="42" t="str">
        <f t="shared" si="203"/>
        <v>O</v>
      </c>
      <c r="Z373">
        <v>57</v>
      </c>
      <c r="AA373" s="42" t="str">
        <f t="shared" si="204"/>
        <v>ORL/HOU</v>
      </c>
    </row>
    <row r="374" spans="1:27" ht="17.100000000000001" x14ac:dyDescent="0.45">
      <c r="A374" s="42">
        <v>191214</v>
      </c>
      <c r="B374" s="44">
        <v>0.375</v>
      </c>
      <c r="C374" s="42" t="s">
        <v>401</v>
      </c>
      <c r="D374" s="42" t="s">
        <v>398</v>
      </c>
      <c r="E374">
        <v>39</v>
      </c>
      <c r="F374">
        <v>23</v>
      </c>
      <c r="G374">
        <v>30</v>
      </c>
      <c r="H374">
        <v>24</v>
      </c>
      <c r="J374">
        <v>25</v>
      </c>
      <c r="K374">
        <v>32</v>
      </c>
      <c r="L374">
        <v>25</v>
      </c>
      <c r="M374">
        <v>27</v>
      </c>
      <c r="N374" s="2" t="s">
        <v>427</v>
      </c>
      <c r="O374" s="42">
        <f t="shared" si="194"/>
        <v>116</v>
      </c>
      <c r="P374" s="42">
        <f t="shared" si="195"/>
        <v>109</v>
      </c>
      <c r="Q374" s="42" t="str">
        <f t="shared" si="196"/>
        <v>HW</v>
      </c>
      <c r="R374" s="42" t="str">
        <f t="shared" si="197"/>
        <v>HL</v>
      </c>
      <c r="S374" s="42" t="str">
        <f t="shared" si="198"/>
        <v>HW</v>
      </c>
      <c r="T374" s="42" t="str">
        <f t="shared" si="199"/>
        <v>HL</v>
      </c>
      <c r="U374" s="42" t="str">
        <f t="shared" si="200"/>
        <v>O</v>
      </c>
      <c r="V374" s="42" t="str">
        <f t="shared" si="201"/>
        <v>U</v>
      </c>
      <c r="W374" s="42" t="str">
        <f t="shared" si="202"/>
        <v>U</v>
      </c>
      <c r="X374" s="42" t="str">
        <f t="shared" si="203"/>
        <v>U</v>
      </c>
      <c r="Z374">
        <v>57.5</v>
      </c>
      <c r="AA374" s="42" t="str">
        <f t="shared" si="204"/>
        <v>PHI/NO</v>
      </c>
    </row>
    <row r="375" spans="1:27" ht="17.100000000000001" x14ac:dyDescent="0.45">
      <c r="A375" s="42">
        <v>191214</v>
      </c>
      <c r="B375" s="44">
        <v>0.39583333333333331</v>
      </c>
      <c r="C375" s="42" t="s">
        <v>410</v>
      </c>
      <c r="D375" s="42" t="s">
        <v>400</v>
      </c>
      <c r="E375">
        <v>22</v>
      </c>
      <c r="F375">
        <v>26</v>
      </c>
      <c r="G375">
        <v>35</v>
      </c>
      <c r="H375">
        <v>17</v>
      </c>
      <c r="J375">
        <v>29</v>
      </c>
      <c r="K375">
        <v>34</v>
      </c>
      <c r="L375">
        <v>23</v>
      </c>
      <c r="M375">
        <v>24</v>
      </c>
      <c r="N375" s="2" t="s">
        <v>427</v>
      </c>
      <c r="O375" s="42">
        <f t="shared" si="194"/>
        <v>100</v>
      </c>
      <c r="P375" s="42">
        <f t="shared" si="195"/>
        <v>110</v>
      </c>
      <c r="Q375" s="42" t="str">
        <f t="shared" si="196"/>
        <v>HL</v>
      </c>
      <c r="R375" s="42" t="str">
        <f t="shared" si="197"/>
        <v>HL</v>
      </c>
      <c r="S375" s="42" t="str">
        <f t="shared" si="198"/>
        <v>HW</v>
      </c>
      <c r="T375" s="42" t="str">
        <f t="shared" si="199"/>
        <v>HL</v>
      </c>
      <c r="U375" s="42" t="str">
        <f t="shared" si="200"/>
        <v>U</v>
      </c>
      <c r="V375" s="42" t="str">
        <f t="shared" si="201"/>
        <v>O</v>
      </c>
      <c r="W375" s="42" t="str">
        <f t="shared" si="202"/>
        <v>O</v>
      </c>
      <c r="X375" s="42" t="str">
        <f t="shared" si="203"/>
        <v>U</v>
      </c>
      <c r="Z375">
        <v>57.5</v>
      </c>
      <c r="AA375" s="42" t="str">
        <f t="shared" si="204"/>
        <v>ATL/IND</v>
      </c>
    </row>
    <row r="376" spans="1:27" ht="17.100000000000001" x14ac:dyDescent="0.45">
      <c r="A376" s="42">
        <v>191214</v>
      </c>
      <c r="B376" s="44">
        <v>0.41666666666666669</v>
      </c>
      <c r="C376" s="42" t="s">
        <v>412</v>
      </c>
      <c r="D376" s="42" t="s">
        <v>409</v>
      </c>
      <c r="E376">
        <v>15</v>
      </c>
      <c r="F376">
        <v>25</v>
      </c>
      <c r="G376">
        <v>10</v>
      </c>
      <c r="H376">
        <v>23</v>
      </c>
      <c r="J376">
        <v>24</v>
      </c>
      <c r="K376">
        <v>20</v>
      </c>
      <c r="L376">
        <v>15</v>
      </c>
      <c r="M376">
        <v>24</v>
      </c>
      <c r="N376" s="2" t="s">
        <v>427</v>
      </c>
      <c r="O376" s="42">
        <f t="shared" si="194"/>
        <v>73</v>
      </c>
      <c r="P376" s="42">
        <f t="shared" si="195"/>
        <v>83</v>
      </c>
      <c r="Q376" s="42" t="str">
        <f t="shared" si="196"/>
        <v>HL</v>
      </c>
      <c r="R376" s="42" t="str">
        <f t="shared" si="197"/>
        <v>HW</v>
      </c>
      <c r="S376" s="42" t="str">
        <f t="shared" si="198"/>
        <v>HL</v>
      </c>
      <c r="T376" s="42" t="str">
        <f t="shared" si="199"/>
        <v>HL</v>
      </c>
      <c r="U376" s="42" t="str">
        <f t="shared" si="200"/>
        <v>U</v>
      </c>
      <c r="V376" s="42" t="str">
        <f t="shared" si="201"/>
        <v>U</v>
      </c>
      <c r="W376" s="42" t="str">
        <f t="shared" si="202"/>
        <v>U</v>
      </c>
      <c r="X376" s="42" t="str">
        <f t="shared" si="203"/>
        <v>U</v>
      </c>
      <c r="Z376">
        <v>55</v>
      </c>
      <c r="AA376" s="42" t="str">
        <f t="shared" si="204"/>
        <v>CHI/CHA</v>
      </c>
    </row>
    <row r="377" spans="1:27" ht="17.100000000000001" x14ac:dyDescent="0.45">
      <c r="A377" s="42">
        <v>191214</v>
      </c>
      <c r="B377" s="44">
        <v>0.41666666666666669</v>
      </c>
      <c r="C377" s="42" t="s">
        <v>406</v>
      </c>
      <c r="D377" s="42" t="s">
        <v>423</v>
      </c>
      <c r="E377">
        <v>29</v>
      </c>
      <c r="F377">
        <v>33</v>
      </c>
      <c r="G377">
        <v>33</v>
      </c>
      <c r="H377">
        <v>19</v>
      </c>
      <c r="J377">
        <v>35</v>
      </c>
      <c r="K377">
        <v>29</v>
      </c>
      <c r="L377">
        <v>26</v>
      </c>
      <c r="M377">
        <v>37</v>
      </c>
      <c r="N377" s="2" t="s">
        <v>427</v>
      </c>
      <c r="O377" s="42">
        <f t="shared" si="194"/>
        <v>114</v>
      </c>
      <c r="P377" s="42">
        <f t="shared" si="195"/>
        <v>127</v>
      </c>
      <c r="Q377" s="42" t="str">
        <f t="shared" si="196"/>
        <v>HL</v>
      </c>
      <c r="R377" s="42" t="str">
        <f t="shared" si="197"/>
        <v>HW</v>
      </c>
      <c r="S377" s="42" t="str">
        <f t="shared" si="198"/>
        <v>HW</v>
      </c>
      <c r="T377" s="42" t="str">
        <f t="shared" si="199"/>
        <v>HL</v>
      </c>
      <c r="U377" s="42" t="str">
        <f t="shared" si="200"/>
        <v>O</v>
      </c>
      <c r="V377" s="42" t="str">
        <f t="shared" si="201"/>
        <v>O</v>
      </c>
      <c r="W377" s="42" t="str">
        <f t="shared" si="202"/>
        <v>O</v>
      </c>
      <c r="X377" s="42" t="str">
        <f t="shared" si="203"/>
        <v>U</v>
      </c>
      <c r="Z377">
        <v>56.5</v>
      </c>
      <c r="AA377" s="42" t="str">
        <f t="shared" si="204"/>
        <v>MEM/MIL</v>
      </c>
    </row>
    <row r="378" spans="1:27" ht="17.100000000000001" x14ac:dyDescent="0.45">
      <c r="A378" s="42">
        <v>191214</v>
      </c>
      <c r="B378" s="44">
        <v>0.45833333333333331</v>
      </c>
      <c r="C378" s="42" t="s">
        <v>405</v>
      </c>
      <c r="D378" s="42" t="s">
        <v>425</v>
      </c>
      <c r="E378">
        <v>22</v>
      </c>
      <c r="F378">
        <v>27</v>
      </c>
      <c r="G378">
        <v>37</v>
      </c>
      <c r="H378">
        <v>28</v>
      </c>
      <c r="J378">
        <v>29</v>
      </c>
      <c r="K378">
        <v>27</v>
      </c>
      <c r="L378">
        <v>28</v>
      </c>
      <c r="M378">
        <v>22</v>
      </c>
      <c r="N378" s="2" t="s">
        <v>427</v>
      </c>
      <c r="O378" s="42">
        <f t="shared" si="194"/>
        <v>114</v>
      </c>
      <c r="P378" s="42">
        <f t="shared" si="195"/>
        <v>106</v>
      </c>
      <c r="Q378" s="42" t="str">
        <f t="shared" si="196"/>
        <v>HL</v>
      </c>
      <c r="R378" s="42" t="str">
        <f t="shared" si="197"/>
        <v>TT</v>
      </c>
      <c r="S378" s="42" t="str">
        <f t="shared" si="198"/>
        <v>HW</v>
      </c>
      <c r="T378" s="42" t="str">
        <f t="shared" si="199"/>
        <v>HW</v>
      </c>
      <c r="U378" s="42" t="str">
        <f t="shared" si="200"/>
        <v>U</v>
      </c>
      <c r="V378" s="42" t="str">
        <f t="shared" si="201"/>
        <v>U</v>
      </c>
      <c r="W378" s="42" t="str">
        <f t="shared" si="202"/>
        <v>O</v>
      </c>
      <c r="X378" s="42" t="str">
        <f t="shared" si="203"/>
        <v>U</v>
      </c>
      <c r="Z378">
        <v>54.5</v>
      </c>
      <c r="AA378" s="42" t="str">
        <f t="shared" si="204"/>
        <v>UTA/GS</v>
      </c>
    </row>
    <row r="379" spans="1:27" ht="17.100000000000001" x14ac:dyDescent="0.45">
      <c r="A379" s="42">
        <v>191214</v>
      </c>
      <c r="B379" s="44">
        <v>0.47916666666666669</v>
      </c>
      <c r="C379" s="42" t="s">
        <v>420</v>
      </c>
      <c r="D379" s="42" t="s">
        <v>415</v>
      </c>
      <c r="E379">
        <v>29</v>
      </c>
      <c r="F379">
        <v>29</v>
      </c>
      <c r="G379">
        <v>23</v>
      </c>
      <c r="H379">
        <v>36</v>
      </c>
      <c r="J379">
        <v>33</v>
      </c>
      <c r="K379">
        <v>32</v>
      </c>
      <c r="L379">
        <v>37</v>
      </c>
      <c r="M379">
        <v>22</v>
      </c>
      <c r="N379" s="2" t="s">
        <v>427</v>
      </c>
      <c r="O379" s="42">
        <f t="shared" si="194"/>
        <v>117</v>
      </c>
      <c r="P379" s="42">
        <f t="shared" si="195"/>
        <v>124</v>
      </c>
      <c r="Q379" s="42" t="str">
        <f t="shared" si="196"/>
        <v>HL</v>
      </c>
      <c r="R379" s="42" t="str">
        <f t="shared" si="197"/>
        <v>HL</v>
      </c>
      <c r="S379" s="42" t="str">
        <f t="shared" si="198"/>
        <v>HL</v>
      </c>
      <c r="T379" s="42" t="str">
        <f t="shared" si="199"/>
        <v>HW</v>
      </c>
      <c r="U379" s="42" t="str">
        <f t="shared" si="200"/>
        <v>O</v>
      </c>
      <c r="V379" s="42" t="str">
        <f t="shared" si="201"/>
        <v>O</v>
      </c>
      <c r="W379" s="42" t="str">
        <f t="shared" si="202"/>
        <v>O</v>
      </c>
      <c r="X379" s="42" t="str">
        <f t="shared" si="203"/>
        <v>U</v>
      </c>
      <c r="Z379">
        <v>59</v>
      </c>
      <c r="AA379" s="42" t="str">
        <f t="shared" si="204"/>
        <v>MIN/LAC</v>
      </c>
    </row>
    <row r="380" spans="1:27" ht="17.100000000000001" x14ac:dyDescent="0.45">
      <c r="A380" s="42">
        <v>191214</v>
      </c>
      <c r="B380" s="44">
        <v>0.5</v>
      </c>
      <c r="C380" s="42" t="s">
        <v>416</v>
      </c>
      <c r="D380" s="42" t="s">
        <v>399</v>
      </c>
      <c r="E380">
        <v>32</v>
      </c>
      <c r="F380">
        <v>22</v>
      </c>
      <c r="G380">
        <v>26</v>
      </c>
      <c r="H380">
        <v>21</v>
      </c>
      <c r="J380">
        <v>20</v>
      </c>
      <c r="K380">
        <v>25</v>
      </c>
      <c r="L380">
        <v>27</v>
      </c>
      <c r="M380">
        <v>31</v>
      </c>
      <c r="N380" s="2" t="s">
        <v>427</v>
      </c>
      <c r="O380" s="42">
        <f t="shared" si="194"/>
        <v>101</v>
      </c>
      <c r="P380" s="42">
        <f t="shared" si="195"/>
        <v>103</v>
      </c>
      <c r="Q380" s="42" t="str">
        <f t="shared" si="196"/>
        <v>HW</v>
      </c>
      <c r="R380" s="42" t="str">
        <f t="shared" si="197"/>
        <v>HL</v>
      </c>
      <c r="S380" s="42" t="str">
        <f t="shared" si="198"/>
        <v>HL</v>
      </c>
      <c r="T380" s="42" t="str">
        <f t="shared" si="199"/>
        <v>HL</v>
      </c>
      <c r="U380" s="42" t="str">
        <f t="shared" si="200"/>
        <v>U</v>
      </c>
      <c r="V380" s="42" t="str">
        <f t="shared" si="201"/>
        <v>U</v>
      </c>
      <c r="W380" s="42" t="str">
        <f t="shared" si="202"/>
        <v>U</v>
      </c>
      <c r="X380" s="42" t="str">
        <f t="shared" si="203"/>
        <v>U</v>
      </c>
      <c r="Z380">
        <v>54</v>
      </c>
      <c r="AA380" s="42" t="str">
        <f t="shared" si="204"/>
        <v>SAC/NYK</v>
      </c>
    </row>
    <row r="381" spans="1:27" ht="17.100000000000001" x14ac:dyDescent="0.45">
      <c r="A381" s="42">
        <v>191215</v>
      </c>
      <c r="B381" s="44">
        <v>0.29166666666666669</v>
      </c>
      <c r="C381" s="42" t="s">
        <v>404</v>
      </c>
      <c r="D381" s="42" t="s">
        <v>426</v>
      </c>
      <c r="E381">
        <v>18</v>
      </c>
      <c r="F381">
        <v>30</v>
      </c>
      <c r="G381">
        <v>32</v>
      </c>
      <c r="H381">
        <v>29</v>
      </c>
      <c r="I381">
        <v>10</v>
      </c>
      <c r="J381">
        <v>28</v>
      </c>
      <c r="K381">
        <v>16</v>
      </c>
      <c r="L381">
        <v>34</v>
      </c>
      <c r="M381">
        <v>31</v>
      </c>
      <c r="N381" s="2">
        <v>12</v>
      </c>
      <c r="O381" s="42">
        <f t="shared" si="194"/>
        <v>119</v>
      </c>
      <c r="P381" s="42">
        <f t="shared" si="195"/>
        <v>121</v>
      </c>
      <c r="Q381" s="42" t="str">
        <f t="shared" si="196"/>
        <v>HL</v>
      </c>
      <c r="R381" s="42" t="str">
        <f t="shared" si="197"/>
        <v>HW</v>
      </c>
      <c r="S381" s="42" t="str">
        <f t="shared" si="198"/>
        <v>HL</v>
      </c>
      <c r="T381" s="42" t="str">
        <f t="shared" si="199"/>
        <v>HL</v>
      </c>
      <c r="U381" s="42" t="str">
        <f t="shared" si="200"/>
        <v>U</v>
      </c>
      <c r="V381" s="42" t="str">
        <f t="shared" si="201"/>
        <v>U</v>
      </c>
      <c r="W381" s="42" t="str">
        <f t="shared" si="202"/>
        <v>O</v>
      </c>
      <c r="X381" s="42" t="str">
        <f t="shared" si="203"/>
        <v>O</v>
      </c>
      <c r="Z381">
        <v>53.5</v>
      </c>
      <c r="AA381" s="42" t="str">
        <f t="shared" si="204"/>
        <v>PHO/SAS</v>
      </c>
    </row>
    <row r="382" spans="1:27" ht="17.100000000000001" x14ac:dyDescent="0.45">
      <c r="A382" s="42">
        <v>191215</v>
      </c>
      <c r="B382" s="44">
        <v>0.39583333333333331</v>
      </c>
      <c r="C382" s="42" t="s">
        <v>413</v>
      </c>
      <c r="D382" s="42" t="s">
        <v>407</v>
      </c>
      <c r="E382">
        <v>38</v>
      </c>
      <c r="F382">
        <v>27</v>
      </c>
      <c r="G382">
        <v>25</v>
      </c>
      <c r="H382">
        <v>20</v>
      </c>
      <c r="J382">
        <v>31</v>
      </c>
      <c r="K382">
        <v>29</v>
      </c>
      <c r="L382">
        <v>23</v>
      </c>
      <c r="M382">
        <v>19</v>
      </c>
      <c r="N382" s="2" t="s">
        <v>427</v>
      </c>
      <c r="O382" s="42">
        <f t="shared" si="194"/>
        <v>110</v>
      </c>
      <c r="P382" s="42">
        <f t="shared" si="195"/>
        <v>102</v>
      </c>
      <c r="Q382" s="42" t="str">
        <f t="shared" si="196"/>
        <v>HW</v>
      </c>
      <c r="R382" s="42" t="str">
        <f t="shared" si="197"/>
        <v>HL</v>
      </c>
      <c r="S382" s="42" t="str">
        <f t="shared" si="198"/>
        <v>HW</v>
      </c>
      <c r="T382" s="42" t="str">
        <f t="shared" si="199"/>
        <v>HW</v>
      </c>
      <c r="U382" s="42" t="str">
        <f t="shared" si="200"/>
        <v>O</v>
      </c>
      <c r="V382" s="42" t="str">
        <f t="shared" si="201"/>
        <v>O</v>
      </c>
      <c r="W382" s="42" t="str">
        <f t="shared" si="202"/>
        <v>U</v>
      </c>
      <c r="X382" s="42" t="str">
        <f t="shared" si="203"/>
        <v>U</v>
      </c>
      <c r="Z382">
        <v>53.5</v>
      </c>
      <c r="AA382" s="42" t="str">
        <f t="shared" si="204"/>
        <v>TOR/BKN</v>
      </c>
    </row>
    <row r="383" spans="1:27" ht="17.100000000000001" x14ac:dyDescent="0.45">
      <c r="A383" s="42">
        <v>191215</v>
      </c>
      <c r="B383" s="44">
        <v>0.41666666666666669</v>
      </c>
      <c r="C383" s="42" t="s">
        <v>412</v>
      </c>
      <c r="D383" s="42" t="s">
        <v>415</v>
      </c>
      <c r="E383">
        <v>24</v>
      </c>
      <c r="F383">
        <v>31</v>
      </c>
      <c r="G383">
        <v>29</v>
      </c>
      <c r="H383">
        <v>25</v>
      </c>
      <c r="J383">
        <v>29</v>
      </c>
      <c r="K383">
        <v>28</v>
      </c>
      <c r="L383">
        <v>22</v>
      </c>
      <c r="M383">
        <v>27</v>
      </c>
      <c r="N383" s="2" t="s">
        <v>427</v>
      </c>
      <c r="O383" s="42">
        <f t="shared" si="194"/>
        <v>109</v>
      </c>
      <c r="P383" s="42">
        <f t="shared" si="195"/>
        <v>106</v>
      </c>
      <c r="Q383" s="42" t="str">
        <f t="shared" si="196"/>
        <v>HL</v>
      </c>
      <c r="R383" s="42" t="str">
        <f t="shared" si="197"/>
        <v>HW</v>
      </c>
      <c r="S383" s="42" t="str">
        <f t="shared" si="198"/>
        <v>HW</v>
      </c>
      <c r="T383" s="42" t="str">
        <f t="shared" si="199"/>
        <v>HL</v>
      </c>
      <c r="U383" s="42" t="str">
        <f t="shared" si="200"/>
        <v>U</v>
      </c>
      <c r="V383" s="42" t="str">
        <f t="shared" si="201"/>
        <v>O</v>
      </c>
      <c r="W383" s="42" t="str">
        <f t="shared" si="202"/>
        <v>U</v>
      </c>
      <c r="X383" s="42" t="str">
        <f t="shared" si="203"/>
        <v>U</v>
      </c>
      <c r="Z383">
        <v>55</v>
      </c>
      <c r="AA383" s="42" t="str">
        <f t="shared" si="204"/>
        <v>CHI/LAC</v>
      </c>
    </row>
    <row r="384" spans="1:27" ht="17.100000000000001" x14ac:dyDescent="0.45">
      <c r="A384" s="42">
        <v>191215</v>
      </c>
      <c r="B384" s="44">
        <v>0.41666666666666669</v>
      </c>
      <c r="C384" s="42" t="s">
        <v>406</v>
      </c>
      <c r="D384" s="42" t="s">
        <v>414</v>
      </c>
      <c r="E384">
        <v>35</v>
      </c>
      <c r="F384">
        <v>34</v>
      </c>
      <c r="G384">
        <v>35</v>
      </c>
      <c r="H384">
        <v>24</v>
      </c>
      <c r="J384">
        <v>30</v>
      </c>
      <c r="K384">
        <v>24</v>
      </c>
      <c r="L384">
        <v>30</v>
      </c>
      <c r="M384">
        <v>27</v>
      </c>
      <c r="N384" s="2" t="s">
        <v>427</v>
      </c>
      <c r="O384" s="42">
        <f t="shared" si="194"/>
        <v>128</v>
      </c>
      <c r="P384" s="42">
        <f t="shared" si="195"/>
        <v>111</v>
      </c>
      <c r="Q384" s="42" t="str">
        <f t="shared" si="196"/>
        <v>HW</v>
      </c>
      <c r="R384" s="42" t="str">
        <f t="shared" si="197"/>
        <v>HW</v>
      </c>
      <c r="S384" s="42" t="str">
        <f t="shared" si="198"/>
        <v>HW</v>
      </c>
      <c r="T384" s="42" t="str">
        <f t="shared" si="199"/>
        <v>HL</v>
      </c>
      <c r="U384" s="42" t="str">
        <f t="shared" si="200"/>
        <v>O</v>
      </c>
      <c r="V384" s="42" t="str">
        <f t="shared" si="201"/>
        <v>U</v>
      </c>
      <c r="W384" s="42" t="str">
        <f t="shared" si="202"/>
        <v>O</v>
      </c>
      <c r="X384" s="42" t="str">
        <f t="shared" si="203"/>
        <v>U</v>
      </c>
      <c r="Z384">
        <v>60.5</v>
      </c>
      <c r="AA384" s="42" t="str">
        <f t="shared" si="204"/>
        <v>MEM/WAS</v>
      </c>
    </row>
    <row r="385" spans="1:27" ht="17.100000000000001" x14ac:dyDescent="0.45">
      <c r="A385" s="42">
        <v>191215</v>
      </c>
      <c r="B385" s="44">
        <v>0.4375</v>
      </c>
      <c r="C385" s="42" t="s">
        <v>397</v>
      </c>
      <c r="D385" s="42" t="s">
        <v>411</v>
      </c>
      <c r="E385">
        <v>23</v>
      </c>
      <c r="F385">
        <v>27</v>
      </c>
      <c r="G385">
        <v>31</v>
      </c>
      <c r="H385">
        <v>31</v>
      </c>
      <c r="I385">
        <v>6</v>
      </c>
      <c r="J385">
        <v>37</v>
      </c>
      <c r="K385">
        <v>36</v>
      </c>
      <c r="L385">
        <v>18</v>
      </c>
      <c r="M385">
        <v>21</v>
      </c>
      <c r="N385" s="2">
        <v>10</v>
      </c>
      <c r="O385" s="42">
        <f t="shared" ref="O385:O407" si="205">SUM(E385:I385)</f>
        <v>118</v>
      </c>
      <c r="P385" s="42">
        <f t="shared" ref="P385:P407" si="206">SUM(J385:N385)</f>
        <v>122</v>
      </c>
      <c r="Q385" s="42" t="str">
        <f t="shared" ref="Q385:Q407" si="207">IF(E385=J385,"TT",IF(E385&gt;J385,"HW","HL"))</f>
        <v>HL</v>
      </c>
      <c r="R385" s="42" t="str">
        <f t="shared" ref="R385:R407" si="208">IF(F385=K385,"TT",IF(F385&gt;K385,"HW","HL"))</f>
        <v>HL</v>
      </c>
      <c r="S385" s="42" t="str">
        <f t="shared" ref="S385:S407" si="209">IF(G385=L385,"TT",IF(G385&gt;L385,"HW","HL"))</f>
        <v>HW</v>
      </c>
      <c r="T385" s="42" t="str">
        <f t="shared" ref="T385:T407" si="210">IF(H385=M385,"TT",IF(H385&gt;M385,"HW","HL"))</f>
        <v>HW</v>
      </c>
      <c r="U385" s="42" t="str">
        <f t="shared" ref="U385:U407" si="211">IF(SUM(E385,J385)=$Z385,"T",IF(SUM(E385,J385)&gt;$Z385,"O","U"))</f>
        <v>O</v>
      </c>
      <c r="V385" s="42" t="str">
        <f t="shared" ref="V385:V407" si="212">IF(SUM(F385,K385)=$Z385,"T",IF(SUM(F385,K385)&gt;$Z385,"O","U"))</f>
        <v>O</v>
      </c>
      <c r="W385" s="42" t="str">
        <f t="shared" ref="W385:W407" si="213">IF(SUM(G385,L385)=$Z385,"T",IF(SUM(G385,L385)&gt;$Z385,"O","U"))</f>
        <v>U</v>
      </c>
      <c r="X385" s="42" t="str">
        <f t="shared" ref="X385:X407" si="214">IF(SUM(H385,M385)=$Z385,"T",IF(SUM(H385,M385)&gt;$Z385,"O","U"))</f>
        <v>U</v>
      </c>
      <c r="Z385">
        <v>56</v>
      </c>
      <c r="AA385" s="42" t="str">
        <f t="shared" si="204"/>
        <v>DAL/MIA</v>
      </c>
    </row>
    <row r="386" spans="1:27" ht="17.100000000000001" x14ac:dyDescent="0.45">
      <c r="A386" s="42">
        <v>191215</v>
      </c>
      <c r="B386" s="44">
        <v>0.4375</v>
      </c>
      <c r="C386" s="42" t="s">
        <v>423</v>
      </c>
      <c r="D386" s="42" t="s">
        <v>402</v>
      </c>
      <c r="E386">
        <v>26</v>
      </c>
      <c r="F386">
        <v>43</v>
      </c>
      <c r="G386">
        <v>33</v>
      </c>
      <c r="H386">
        <v>23</v>
      </c>
      <c r="J386">
        <v>20</v>
      </c>
      <c r="K386">
        <v>31</v>
      </c>
      <c r="L386">
        <v>28</v>
      </c>
      <c r="M386">
        <v>29</v>
      </c>
      <c r="N386" s="2" t="s">
        <v>427</v>
      </c>
      <c r="O386" s="42">
        <f t="shared" si="205"/>
        <v>125</v>
      </c>
      <c r="P386" s="42">
        <f t="shared" si="206"/>
        <v>108</v>
      </c>
      <c r="Q386" s="42" t="str">
        <f t="shared" si="207"/>
        <v>HW</v>
      </c>
      <c r="R386" s="42" t="str">
        <f t="shared" si="208"/>
        <v>HW</v>
      </c>
      <c r="S386" s="42" t="str">
        <f t="shared" si="209"/>
        <v>HW</v>
      </c>
      <c r="T386" s="42" t="str">
        <f t="shared" si="210"/>
        <v>HL</v>
      </c>
      <c r="U386" s="42" t="str">
        <f t="shared" si="211"/>
        <v>U</v>
      </c>
      <c r="V386" s="42" t="str">
        <f t="shared" si="212"/>
        <v>O</v>
      </c>
      <c r="W386" s="42" t="str">
        <f t="shared" si="213"/>
        <v>O</v>
      </c>
      <c r="X386" s="42" t="str">
        <f t="shared" si="214"/>
        <v>U</v>
      </c>
      <c r="Z386">
        <v>54.5</v>
      </c>
      <c r="AA386" s="42" t="str">
        <f t="shared" si="204"/>
        <v>MIL/CLE</v>
      </c>
    </row>
    <row r="387" spans="1:27" ht="17.100000000000001" x14ac:dyDescent="0.45">
      <c r="A387" s="42">
        <v>191215</v>
      </c>
      <c r="B387" s="44">
        <v>0.45833333333333331</v>
      </c>
      <c r="C387" s="42" t="s">
        <v>408</v>
      </c>
      <c r="D387" s="42" t="s">
        <v>418</v>
      </c>
      <c r="E387">
        <v>27</v>
      </c>
      <c r="F387">
        <v>25</v>
      </c>
      <c r="G387">
        <v>30</v>
      </c>
      <c r="H387">
        <v>28</v>
      </c>
      <c r="J387">
        <v>20</v>
      </c>
      <c r="K387">
        <v>29</v>
      </c>
      <c r="L387">
        <v>19</v>
      </c>
      <c r="M387">
        <v>34</v>
      </c>
      <c r="N387" s="2" t="s">
        <v>427</v>
      </c>
      <c r="O387" s="42">
        <f t="shared" si="205"/>
        <v>110</v>
      </c>
      <c r="P387" s="42">
        <f t="shared" si="206"/>
        <v>102</v>
      </c>
      <c r="Q387" s="42" t="str">
        <f t="shared" si="207"/>
        <v>HW</v>
      </c>
      <c r="R387" s="42" t="str">
        <f t="shared" si="208"/>
        <v>HL</v>
      </c>
      <c r="S387" s="42" t="str">
        <f t="shared" si="209"/>
        <v>HW</v>
      </c>
      <c r="T387" s="42" t="str">
        <f t="shared" si="210"/>
        <v>HL</v>
      </c>
      <c r="U387" s="42" t="str">
        <f t="shared" si="211"/>
        <v>U</v>
      </c>
      <c r="V387" s="42" t="str">
        <f t="shared" si="212"/>
        <v>O</v>
      </c>
      <c r="W387" s="42" t="str">
        <f t="shared" si="213"/>
        <v>U</v>
      </c>
      <c r="X387" s="42" t="str">
        <f t="shared" si="214"/>
        <v>O</v>
      </c>
      <c r="Z387">
        <v>53</v>
      </c>
      <c r="AA387" s="42" t="str">
        <f t="shared" si="204"/>
        <v>DEN/OKC</v>
      </c>
    </row>
    <row r="388" spans="1:27" ht="17.100000000000001" x14ac:dyDescent="0.45">
      <c r="A388" s="42">
        <v>191215</v>
      </c>
      <c r="B388" s="44">
        <v>0.45833333333333331</v>
      </c>
      <c r="C388" s="42" t="s">
        <v>403</v>
      </c>
      <c r="D388" s="42" t="s">
        <v>422</v>
      </c>
      <c r="E388">
        <v>32</v>
      </c>
      <c r="F388">
        <v>20</v>
      </c>
      <c r="G388">
        <v>23</v>
      </c>
      <c r="H388">
        <v>32</v>
      </c>
      <c r="J388">
        <v>30</v>
      </c>
      <c r="K388">
        <v>32</v>
      </c>
      <c r="L388">
        <v>26</v>
      </c>
      <c r="M388">
        <v>27</v>
      </c>
      <c r="N388" s="2" t="s">
        <v>427</v>
      </c>
      <c r="O388" s="42">
        <f t="shared" si="205"/>
        <v>107</v>
      </c>
      <c r="P388" s="42">
        <f t="shared" si="206"/>
        <v>115</v>
      </c>
      <c r="Q388" s="42" t="str">
        <f t="shared" si="207"/>
        <v>HW</v>
      </c>
      <c r="R388" s="42" t="str">
        <f t="shared" si="208"/>
        <v>HL</v>
      </c>
      <c r="S388" s="42" t="str">
        <f t="shared" si="209"/>
        <v>HL</v>
      </c>
      <c r="T388" s="42" t="str">
        <f t="shared" si="210"/>
        <v>HW</v>
      </c>
      <c r="U388" s="42" t="str">
        <f t="shared" si="211"/>
        <v>O</v>
      </c>
      <c r="V388" s="42" t="str">
        <f t="shared" si="212"/>
        <v>U</v>
      </c>
      <c r="W388" s="42" t="str">
        <f t="shared" si="213"/>
        <v>U</v>
      </c>
      <c r="X388" s="42" t="str">
        <f t="shared" si="214"/>
        <v>O</v>
      </c>
      <c r="Z388">
        <v>58.5</v>
      </c>
      <c r="AA388" s="42" t="str">
        <f t="shared" si="204"/>
        <v>HOU/DET</v>
      </c>
    </row>
    <row r="389" spans="1:27" ht="17.100000000000001" x14ac:dyDescent="0.45">
      <c r="A389" s="42">
        <v>191216</v>
      </c>
      <c r="B389" s="44">
        <v>0.22916666666666666</v>
      </c>
      <c r="C389" s="42" t="s">
        <v>398</v>
      </c>
      <c r="D389" s="42" t="s">
        <v>424</v>
      </c>
      <c r="E389">
        <v>30</v>
      </c>
      <c r="F389">
        <v>27</v>
      </c>
      <c r="G389">
        <v>27</v>
      </c>
      <c r="H389">
        <v>35</v>
      </c>
      <c r="J389">
        <v>24</v>
      </c>
      <c r="K389">
        <v>34</v>
      </c>
      <c r="L389">
        <v>41</v>
      </c>
      <c r="M389">
        <v>31</v>
      </c>
      <c r="N389" s="2" t="s">
        <v>427</v>
      </c>
      <c r="O389" s="42">
        <f t="shared" si="205"/>
        <v>119</v>
      </c>
      <c r="P389" s="42">
        <f t="shared" si="206"/>
        <v>130</v>
      </c>
      <c r="Q389" s="42" t="str">
        <f t="shared" si="207"/>
        <v>HW</v>
      </c>
      <c r="R389" s="42" t="str">
        <f t="shared" si="208"/>
        <v>HL</v>
      </c>
      <c r="S389" s="42" t="str">
        <f t="shared" si="209"/>
        <v>HL</v>
      </c>
      <c r="T389" s="42" t="str">
        <f t="shared" si="210"/>
        <v>HW</v>
      </c>
      <c r="U389" s="42" t="str">
        <f t="shared" si="211"/>
        <v>U</v>
      </c>
      <c r="V389" s="42" t="str">
        <f t="shared" si="212"/>
        <v>O</v>
      </c>
      <c r="W389" s="42" t="str">
        <f t="shared" si="213"/>
        <v>O</v>
      </c>
      <c r="X389" s="42" t="str">
        <f t="shared" si="214"/>
        <v>O</v>
      </c>
      <c r="Z389">
        <v>56</v>
      </c>
      <c r="AA389" s="42" t="str">
        <f t="shared" si="204"/>
        <v>NO/ORL</v>
      </c>
    </row>
    <row r="390" spans="1:27" ht="17.100000000000001" x14ac:dyDescent="0.45">
      <c r="A390" s="42">
        <v>191216</v>
      </c>
      <c r="B390" s="44">
        <v>0.29166666666666669</v>
      </c>
      <c r="C390" s="42" t="s">
        <v>400</v>
      </c>
      <c r="D390" s="42" t="s">
        <v>409</v>
      </c>
      <c r="E390">
        <v>33</v>
      </c>
      <c r="F390">
        <v>26</v>
      </c>
      <c r="G390">
        <v>13</v>
      </c>
      <c r="H390">
        <v>35</v>
      </c>
      <c r="J390">
        <v>20</v>
      </c>
      <c r="K390">
        <v>24</v>
      </c>
      <c r="L390">
        <v>22</v>
      </c>
      <c r="M390">
        <v>19</v>
      </c>
      <c r="N390" s="2" t="s">
        <v>427</v>
      </c>
      <c r="O390" s="42">
        <f t="shared" si="205"/>
        <v>107</v>
      </c>
      <c r="P390" s="42">
        <f t="shared" si="206"/>
        <v>85</v>
      </c>
      <c r="Q390" s="42" t="str">
        <f t="shared" si="207"/>
        <v>HW</v>
      </c>
      <c r="R390" s="42" t="str">
        <f t="shared" si="208"/>
        <v>HW</v>
      </c>
      <c r="S390" s="42" t="str">
        <f t="shared" si="209"/>
        <v>HL</v>
      </c>
      <c r="T390" s="42" t="str">
        <f t="shared" si="210"/>
        <v>HW</v>
      </c>
      <c r="U390" s="42" t="str">
        <f t="shared" si="211"/>
        <v>U</v>
      </c>
      <c r="V390" s="42" t="str">
        <f t="shared" si="212"/>
        <v>U</v>
      </c>
      <c r="W390" s="42" t="str">
        <f t="shared" si="213"/>
        <v>U</v>
      </c>
      <c r="X390" s="42" t="str">
        <f t="shared" si="214"/>
        <v>U</v>
      </c>
      <c r="Z390">
        <v>54.5</v>
      </c>
      <c r="AA390" s="42" t="str">
        <f t="shared" si="204"/>
        <v>IND/CHA</v>
      </c>
    </row>
    <row r="391" spans="1:27" ht="17.100000000000001" x14ac:dyDescent="0.45">
      <c r="A391" s="42">
        <v>191216</v>
      </c>
      <c r="B391" s="44">
        <v>0.33333333333333331</v>
      </c>
      <c r="C391" s="42" t="s">
        <v>410</v>
      </c>
      <c r="D391" s="42" t="s">
        <v>419</v>
      </c>
      <c r="E391">
        <v>25</v>
      </c>
      <c r="F391">
        <v>23</v>
      </c>
      <c r="G391">
        <v>30</v>
      </c>
      <c r="H391">
        <v>18</v>
      </c>
      <c r="J391">
        <v>24</v>
      </c>
      <c r="K391">
        <v>31</v>
      </c>
      <c r="L391">
        <v>27</v>
      </c>
      <c r="M391">
        <v>19</v>
      </c>
      <c r="N391" s="2" t="s">
        <v>427</v>
      </c>
      <c r="O391" s="42">
        <f t="shared" si="205"/>
        <v>96</v>
      </c>
      <c r="P391" s="42">
        <f t="shared" si="206"/>
        <v>101</v>
      </c>
      <c r="Q391" s="42" t="str">
        <f t="shared" si="207"/>
        <v>HW</v>
      </c>
      <c r="R391" s="42" t="str">
        <f t="shared" si="208"/>
        <v>HL</v>
      </c>
      <c r="S391" s="42" t="str">
        <f t="shared" si="209"/>
        <v>HW</v>
      </c>
      <c r="T391" s="42" t="str">
        <f t="shared" si="210"/>
        <v>HL</v>
      </c>
      <c r="U391" s="42" t="str">
        <f t="shared" si="211"/>
        <v>U</v>
      </c>
      <c r="V391" s="42" t="str">
        <f t="shared" si="212"/>
        <v>U</v>
      </c>
      <c r="W391" s="42" t="str">
        <f t="shared" si="213"/>
        <v>U</v>
      </c>
      <c r="X391" s="42" t="str">
        <f t="shared" si="214"/>
        <v>U</v>
      </c>
      <c r="Z391">
        <v>59</v>
      </c>
      <c r="AA391" s="42" t="str">
        <f t="shared" si="204"/>
        <v>ATL/LAL</v>
      </c>
    </row>
    <row r="392" spans="1:27" ht="17.100000000000001" x14ac:dyDescent="0.45">
      <c r="A392" s="42">
        <v>191216</v>
      </c>
      <c r="B392" s="44">
        <v>0.33333333333333331</v>
      </c>
      <c r="C392" s="42" t="s">
        <v>407</v>
      </c>
      <c r="D392" s="42" t="s">
        <v>401</v>
      </c>
      <c r="E392">
        <v>28</v>
      </c>
      <c r="F392">
        <v>29</v>
      </c>
      <c r="G392">
        <v>26</v>
      </c>
      <c r="H392">
        <v>26</v>
      </c>
      <c r="J392">
        <v>23</v>
      </c>
      <c r="K392">
        <v>20</v>
      </c>
      <c r="L392">
        <v>23</v>
      </c>
      <c r="M392">
        <v>23</v>
      </c>
      <c r="N392" s="2" t="s">
        <v>427</v>
      </c>
      <c r="O392" s="42">
        <f t="shared" si="205"/>
        <v>109</v>
      </c>
      <c r="P392" s="42">
        <f t="shared" si="206"/>
        <v>89</v>
      </c>
      <c r="Q392" s="42" t="str">
        <f t="shared" si="207"/>
        <v>HW</v>
      </c>
      <c r="R392" s="42" t="str">
        <f t="shared" si="208"/>
        <v>HW</v>
      </c>
      <c r="S392" s="42" t="str">
        <f t="shared" si="209"/>
        <v>HW</v>
      </c>
      <c r="T392" s="42" t="str">
        <f t="shared" si="210"/>
        <v>HW</v>
      </c>
      <c r="U392" s="42" t="str">
        <f t="shared" si="211"/>
        <v>U</v>
      </c>
      <c r="V392" s="42" t="str">
        <f t="shared" si="212"/>
        <v>U</v>
      </c>
      <c r="W392" s="42" t="str">
        <f t="shared" si="213"/>
        <v>U</v>
      </c>
      <c r="X392" s="42" t="str">
        <f t="shared" si="214"/>
        <v>U</v>
      </c>
      <c r="Z392">
        <v>53.5</v>
      </c>
      <c r="AA392" s="42" t="str">
        <f t="shared" si="204"/>
        <v>BKN/PHI</v>
      </c>
    </row>
    <row r="393" spans="1:27" ht="17.100000000000001" x14ac:dyDescent="0.45">
      <c r="A393" s="42">
        <v>191216</v>
      </c>
      <c r="B393" s="44">
        <v>0.41666666666666669</v>
      </c>
      <c r="C393" s="42" t="s">
        <v>408</v>
      </c>
      <c r="D393" s="42" t="s">
        <v>399</v>
      </c>
      <c r="E393">
        <v>33</v>
      </c>
      <c r="F393">
        <v>34</v>
      </c>
      <c r="G393">
        <v>20</v>
      </c>
      <c r="H393">
        <v>24</v>
      </c>
      <c r="J393">
        <v>22</v>
      </c>
      <c r="K393">
        <v>29</v>
      </c>
      <c r="L393">
        <v>33</v>
      </c>
      <c r="M393">
        <v>21</v>
      </c>
      <c r="N393" s="2" t="s">
        <v>427</v>
      </c>
      <c r="O393" s="42">
        <f t="shared" si="205"/>
        <v>111</v>
      </c>
      <c r="P393" s="42">
        <f t="shared" si="206"/>
        <v>105</v>
      </c>
      <c r="Q393" s="42" t="str">
        <f t="shared" si="207"/>
        <v>HW</v>
      </c>
      <c r="R393" s="42" t="str">
        <f t="shared" si="208"/>
        <v>HW</v>
      </c>
      <c r="S393" s="42" t="str">
        <f t="shared" si="209"/>
        <v>HL</v>
      </c>
      <c r="T393" s="42" t="str">
        <f t="shared" si="210"/>
        <v>HW</v>
      </c>
      <c r="U393" s="42" t="str">
        <f t="shared" si="211"/>
        <v>O</v>
      </c>
      <c r="V393" s="42" t="str">
        <f t="shared" si="212"/>
        <v>O</v>
      </c>
      <c r="W393" s="42" t="str">
        <f t="shared" si="213"/>
        <v>U</v>
      </c>
      <c r="X393" s="42" t="str">
        <f t="shared" si="214"/>
        <v>U</v>
      </c>
      <c r="Z393">
        <v>53.5</v>
      </c>
      <c r="AA393" s="42" t="str">
        <f t="shared" si="204"/>
        <v>DEN/NYK</v>
      </c>
    </row>
    <row r="394" spans="1:27" ht="17.100000000000001" x14ac:dyDescent="0.45">
      <c r="A394" s="42">
        <v>191216</v>
      </c>
      <c r="B394" s="44">
        <v>0.4375</v>
      </c>
      <c r="C394" s="42" t="s">
        <v>425</v>
      </c>
      <c r="D394" s="42" t="s">
        <v>416</v>
      </c>
      <c r="E394">
        <v>18</v>
      </c>
      <c r="F394">
        <v>24</v>
      </c>
      <c r="G394">
        <v>17</v>
      </c>
      <c r="H394">
        <v>20</v>
      </c>
      <c r="J394">
        <v>26</v>
      </c>
      <c r="K394">
        <v>25</v>
      </c>
      <c r="L394">
        <v>28</v>
      </c>
      <c r="M394">
        <v>21</v>
      </c>
      <c r="N394" s="2" t="s">
        <v>427</v>
      </c>
      <c r="O394" s="42">
        <f t="shared" si="205"/>
        <v>79</v>
      </c>
      <c r="P394" s="42">
        <f t="shared" si="206"/>
        <v>100</v>
      </c>
      <c r="Q394" s="42" t="str">
        <f t="shared" si="207"/>
        <v>HL</v>
      </c>
      <c r="R394" s="42" t="str">
        <f t="shared" si="208"/>
        <v>HL</v>
      </c>
      <c r="S394" s="42" t="str">
        <f t="shared" si="209"/>
        <v>HL</v>
      </c>
      <c r="T394" s="42" t="str">
        <f t="shared" si="210"/>
        <v>HL</v>
      </c>
      <c r="U394" s="42" t="str">
        <f t="shared" si="211"/>
        <v>U</v>
      </c>
      <c r="V394" s="42" t="str">
        <f t="shared" si="212"/>
        <v>U</v>
      </c>
      <c r="W394" s="42" t="str">
        <f t="shared" si="213"/>
        <v>U</v>
      </c>
      <c r="X394" s="42" t="str">
        <f t="shared" si="214"/>
        <v>U</v>
      </c>
      <c r="Z394">
        <v>54</v>
      </c>
      <c r="AA394" s="42" t="str">
        <f t="shared" si="204"/>
        <v>GS/SAC</v>
      </c>
    </row>
    <row r="395" spans="1:27" ht="17.100000000000001" x14ac:dyDescent="0.45">
      <c r="A395" s="42">
        <v>191217</v>
      </c>
      <c r="B395" s="44">
        <v>0.375</v>
      </c>
      <c r="C395" s="42" t="s">
        <v>422</v>
      </c>
      <c r="D395" s="42" t="s">
        <v>414</v>
      </c>
      <c r="E395">
        <v>31</v>
      </c>
      <c r="F395">
        <v>30</v>
      </c>
      <c r="G395">
        <v>30</v>
      </c>
      <c r="H395">
        <v>28</v>
      </c>
      <c r="J395">
        <v>43</v>
      </c>
      <c r="K395">
        <v>24</v>
      </c>
      <c r="L395">
        <v>29</v>
      </c>
      <c r="M395">
        <v>37</v>
      </c>
      <c r="N395" s="2" t="s">
        <v>427</v>
      </c>
      <c r="O395" s="42">
        <f t="shared" si="205"/>
        <v>119</v>
      </c>
      <c r="P395" s="42">
        <f t="shared" si="206"/>
        <v>133</v>
      </c>
      <c r="Q395" s="42" t="str">
        <f t="shared" si="207"/>
        <v>HL</v>
      </c>
      <c r="R395" s="42" t="str">
        <f t="shared" si="208"/>
        <v>HW</v>
      </c>
      <c r="S395" s="42" t="str">
        <f t="shared" si="209"/>
        <v>HW</v>
      </c>
      <c r="T395" s="42" t="str">
        <f t="shared" si="210"/>
        <v>HL</v>
      </c>
      <c r="U395" s="42" t="str">
        <f t="shared" si="211"/>
        <v>O</v>
      </c>
      <c r="V395" s="42" t="str">
        <f t="shared" si="212"/>
        <v>U</v>
      </c>
      <c r="W395" s="42" t="str">
        <f t="shared" si="213"/>
        <v>U</v>
      </c>
      <c r="X395" s="42" t="str">
        <f t="shared" si="214"/>
        <v>O</v>
      </c>
      <c r="Z395">
        <v>59.5</v>
      </c>
      <c r="AA395" s="42" t="str">
        <f t="shared" si="204"/>
        <v>DET/WAS</v>
      </c>
    </row>
    <row r="396" spans="1:27" ht="17.100000000000001" x14ac:dyDescent="0.45">
      <c r="A396" s="42">
        <v>191217</v>
      </c>
      <c r="B396" s="44">
        <v>0.39583333333333331</v>
      </c>
      <c r="C396" s="42" t="s">
        <v>413</v>
      </c>
      <c r="D396" s="42" t="s">
        <v>402</v>
      </c>
      <c r="E396">
        <v>37</v>
      </c>
      <c r="F396">
        <v>29</v>
      </c>
      <c r="G396">
        <v>38</v>
      </c>
      <c r="H396">
        <v>29</v>
      </c>
      <c r="J396">
        <v>29</v>
      </c>
      <c r="K396">
        <v>25</v>
      </c>
      <c r="L396">
        <v>30</v>
      </c>
      <c r="M396">
        <v>29</v>
      </c>
      <c r="N396" s="2" t="s">
        <v>427</v>
      </c>
      <c r="O396" s="42">
        <f t="shared" si="205"/>
        <v>133</v>
      </c>
      <c r="P396" s="42">
        <f t="shared" si="206"/>
        <v>113</v>
      </c>
      <c r="Q396" s="42" t="str">
        <f t="shared" si="207"/>
        <v>HW</v>
      </c>
      <c r="R396" s="42" t="str">
        <f t="shared" si="208"/>
        <v>HW</v>
      </c>
      <c r="S396" s="42" t="str">
        <f t="shared" si="209"/>
        <v>HW</v>
      </c>
      <c r="T396" s="42" t="str">
        <f t="shared" si="210"/>
        <v>TT</v>
      </c>
      <c r="U396" s="42" t="str">
        <f t="shared" si="211"/>
        <v>O</v>
      </c>
      <c r="V396" s="42" t="str">
        <f t="shared" si="212"/>
        <v>O</v>
      </c>
      <c r="W396" s="42" t="str">
        <f t="shared" si="213"/>
        <v>O</v>
      </c>
      <c r="X396" s="42" t="str">
        <f t="shared" si="214"/>
        <v>O</v>
      </c>
      <c r="Z396">
        <v>53.5</v>
      </c>
      <c r="AA396" s="42" t="str">
        <f t="shared" ref="AA396:AA439" si="215">C396&amp;"/"&amp;D396</f>
        <v>TOR/CLE</v>
      </c>
    </row>
    <row r="397" spans="1:27" ht="17.100000000000001" x14ac:dyDescent="0.45">
      <c r="A397" s="42">
        <v>191217</v>
      </c>
      <c r="B397" s="44">
        <v>0.41666666666666669</v>
      </c>
      <c r="C397" s="42" t="s">
        <v>403</v>
      </c>
      <c r="D397" s="42" t="s">
        <v>426</v>
      </c>
      <c r="E397">
        <v>21</v>
      </c>
      <c r="F397">
        <v>32</v>
      </c>
      <c r="G397">
        <v>30</v>
      </c>
      <c r="H397">
        <v>26</v>
      </c>
      <c r="J397">
        <v>35</v>
      </c>
      <c r="K397">
        <v>37</v>
      </c>
      <c r="L397">
        <v>17</v>
      </c>
      <c r="M397">
        <v>18</v>
      </c>
      <c r="N397" s="2" t="s">
        <v>427</v>
      </c>
      <c r="O397" s="42">
        <f t="shared" si="205"/>
        <v>109</v>
      </c>
      <c r="P397" s="42">
        <f t="shared" si="206"/>
        <v>107</v>
      </c>
      <c r="Q397" s="42" t="str">
        <f t="shared" si="207"/>
        <v>HL</v>
      </c>
      <c r="R397" s="42" t="str">
        <f t="shared" si="208"/>
        <v>HL</v>
      </c>
      <c r="S397" s="42" t="str">
        <f t="shared" si="209"/>
        <v>HW</v>
      </c>
      <c r="T397" s="42" t="str">
        <f t="shared" si="210"/>
        <v>HW</v>
      </c>
      <c r="U397" s="42" t="str">
        <f t="shared" si="211"/>
        <v>U</v>
      </c>
      <c r="V397" s="42" t="str">
        <f t="shared" si="212"/>
        <v>O</v>
      </c>
      <c r="W397" s="42" t="str">
        <f t="shared" si="213"/>
        <v>U</v>
      </c>
      <c r="X397" s="42" t="str">
        <f t="shared" si="214"/>
        <v>U</v>
      </c>
      <c r="Z397">
        <v>57</v>
      </c>
      <c r="AA397" s="42" t="str">
        <f t="shared" si="215"/>
        <v>HOU/SAS</v>
      </c>
    </row>
    <row r="398" spans="1:27" ht="17.100000000000001" x14ac:dyDescent="0.45">
      <c r="A398" s="42">
        <v>191217</v>
      </c>
      <c r="B398" s="44">
        <v>0.41666666666666669</v>
      </c>
      <c r="C398" s="42" t="s">
        <v>423</v>
      </c>
      <c r="D398" s="42" t="s">
        <v>397</v>
      </c>
      <c r="E398">
        <v>22</v>
      </c>
      <c r="F398">
        <v>34</v>
      </c>
      <c r="G398">
        <v>20</v>
      </c>
      <c r="H398">
        <v>40</v>
      </c>
      <c r="J398">
        <v>36</v>
      </c>
      <c r="K398">
        <v>23</v>
      </c>
      <c r="L398">
        <v>27</v>
      </c>
      <c r="M398">
        <v>34</v>
      </c>
      <c r="N398" s="2" t="s">
        <v>427</v>
      </c>
      <c r="O398" s="42">
        <f t="shared" si="205"/>
        <v>116</v>
      </c>
      <c r="P398" s="42">
        <f t="shared" si="206"/>
        <v>120</v>
      </c>
      <c r="Q398" s="42" t="str">
        <f t="shared" si="207"/>
        <v>HL</v>
      </c>
      <c r="R398" s="42" t="str">
        <f t="shared" si="208"/>
        <v>HW</v>
      </c>
      <c r="S398" s="42" t="str">
        <f t="shared" si="209"/>
        <v>HL</v>
      </c>
      <c r="T398" s="42" t="str">
        <f t="shared" si="210"/>
        <v>HW</v>
      </c>
      <c r="U398" s="42" t="str">
        <f t="shared" si="211"/>
        <v>U</v>
      </c>
      <c r="V398" s="42" t="str">
        <f t="shared" si="212"/>
        <v>U</v>
      </c>
      <c r="W398" s="42" t="str">
        <f t="shared" si="213"/>
        <v>U</v>
      </c>
      <c r="X398" s="42" t="str">
        <f t="shared" si="214"/>
        <v>O</v>
      </c>
      <c r="Z398">
        <v>58.5</v>
      </c>
      <c r="AA398" s="42" t="str">
        <f t="shared" si="215"/>
        <v>MIL/DAL</v>
      </c>
    </row>
    <row r="399" spans="1:27" ht="17.100000000000001" x14ac:dyDescent="0.45">
      <c r="A399" s="42">
        <v>191217</v>
      </c>
      <c r="B399" s="44">
        <v>0.41666666666666669</v>
      </c>
      <c r="C399" s="42" t="s">
        <v>418</v>
      </c>
      <c r="D399" s="42" t="s">
        <v>412</v>
      </c>
      <c r="E399">
        <v>16</v>
      </c>
      <c r="F399">
        <v>33</v>
      </c>
      <c r="G399">
        <v>33</v>
      </c>
      <c r="H399">
        <v>27</v>
      </c>
      <c r="J399">
        <v>37</v>
      </c>
      <c r="K399">
        <v>31</v>
      </c>
      <c r="L399">
        <v>22</v>
      </c>
      <c r="M399">
        <v>16</v>
      </c>
      <c r="N399" s="2" t="s">
        <v>427</v>
      </c>
      <c r="O399" s="42">
        <f t="shared" si="205"/>
        <v>109</v>
      </c>
      <c r="P399" s="42">
        <f t="shared" si="206"/>
        <v>106</v>
      </c>
      <c r="Q399" s="42" t="str">
        <f t="shared" si="207"/>
        <v>HL</v>
      </c>
      <c r="R399" s="42" t="str">
        <f t="shared" si="208"/>
        <v>HW</v>
      </c>
      <c r="S399" s="42" t="str">
        <f t="shared" si="209"/>
        <v>HW</v>
      </c>
      <c r="T399" s="42" t="str">
        <f t="shared" si="210"/>
        <v>HW</v>
      </c>
      <c r="U399" s="42" t="str">
        <f t="shared" si="211"/>
        <v>U</v>
      </c>
      <c r="V399" s="42" t="str">
        <f t="shared" si="212"/>
        <v>O</v>
      </c>
      <c r="W399" s="42" t="str">
        <f t="shared" si="213"/>
        <v>O</v>
      </c>
      <c r="X399" s="42" t="str">
        <f t="shared" si="214"/>
        <v>U</v>
      </c>
      <c r="Z399">
        <v>53.5</v>
      </c>
      <c r="AA399" s="42" t="str">
        <f t="shared" si="215"/>
        <v>OKC/CHI</v>
      </c>
    </row>
    <row r="400" spans="1:27" ht="17.100000000000001" x14ac:dyDescent="0.45">
      <c r="A400" s="42">
        <v>191217</v>
      </c>
      <c r="B400" s="44">
        <v>0.41666666666666669</v>
      </c>
      <c r="C400" s="42" t="s">
        <v>406</v>
      </c>
      <c r="D400" s="42" t="s">
        <v>411</v>
      </c>
      <c r="E400">
        <v>36</v>
      </c>
      <c r="F400">
        <v>37</v>
      </c>
      <c r="G400">
        <v>22</v>
      </c>
      <c r="H400">
        <v>23</v>
      </c>
      <c r="J400">
        <v>32</v>
      </c>
      <c r="K400">
        <v>26</v>
      </c>
      <c r="L400">
        <v>28</v>
      </c>
      <c r="M400">
        <v>25</v>
      </c>
      <c r="N400" s="2" t="s">
        <v>427</v>
      </c>
      <c r="O400" s="42">
        <f t="shared" si="205"/>
        <v>118</v>
      </c>
      <c r="P400" s="42">
        <f t="shared" si="206"/>
        <v>111</v>
      </c>
      <c r="Q400" s="42" t="str">
        <f t="shared" si="207"/>
        <v>HW</v>
      </c>
      <c r="R400" s="42" t="str">
        <f t="shared" si="208"/>
        <v>HW</v>
      </c>
      <c r="S400" s="42" t="str">
        <f t="shared" si="209"/>
        <v>HL</v>
      </c>
      <c r="T400" s="42" t="str">
        <f t="shared" si="210"/>
        <v>HL</v>
      </c>
      <c r="U400" s="42" t="str">
        <f t="shared" si="211"/>
        <v>O</v>
      </c>
      <c r="V400" s="42" t="str">
        <f t="shared" si="212"/>
        <v>O</v>
      </c>
      <c r="W400" s="42" t="str">
        <f t="shared" si="213"/>
        <v>U</v>
      </c>
      <c r="X400" s="42" t="str">
        <f t="shared" si="214"/>
        <v>U</v>
      </c>
      <c r="Z400">
        <v>56</v>
      </c>
      <c r="AA400" s="42" t="str">
        <f t="shared" si="215"/>
        <v>MEM/MIA</v>
      </c>
    </row>
    <row r="401" spans="1:27" x14ac:dyDescent="0.3">
      <c r="A401" s="42">
        <v>191217</v>
      </c>
      <c r="B401" s="44">
        <v>0.45833333333333331</v>
      </c>
      <c r="C401" s="42" t="s">
        <v>404</v>
      </c>
      <c r="D401" s="42" t="s">
        <v>417</v>
      </c>
      <c r="E401">
        <v>33</v>
      </c>
      <c r="F401">
        <v>34</v>
      </c>
      <c r="G401">
        <v>21</v>
      </c>
      <c r="H401">
        <v>22</v>
      </c>
      <c r="J401">
        <v>25</v>
      </c>
      <c r="K401">
        <v>34</v>
      </c>
      <c r="L401">
        <v>31</v>
      </c>
      <c r="M401">
        <v>21</v>
      </c>
      <c r="N401" s="2" t="s">
        <v>427</v>
      </c>
      <c r="O401" s="42">
        <f t="shared" si="205"/>
        <v>110</v>
      </c>
      <c r="P401" s="42">
        <f t="shared" si="206"/>
        <v>111</v>
      </c>
      <c r="Q401" s="42" t="str">
        <f t="shared" si="207"/>
        <v>HW</v>
      </c>
      <c r="R401" s="42" t="str">
        <f t="shared" si="208"/>
        <v>TT</v>
      </c>
      <c r="S401" s="42" t="str">
        <f t="shared" si="209"/>
        <v>HL</v>
      </c>
      <c r="T401" s="42" t="str">
        <f t="shared" si="210"/>
        <v>HW</v>
      </c>
      <c r="U401" s="42" t="str">
        <f t="shared" si="211"/>
        <v>T</v>
      </c>
      <c r="V401" s="42" t="str">
        <f t="shared" si="212"/>
        <v>O</v>
      </c>
      <c r="W401" s="42" t="str">
        <f t="shared" si="213"/>
        <v>U</v>
      </c>
      <c r="X401" s="42" t="str">
        <f t="shared" si="214"/>
        <v>U</v>
      </c>
      <c r="Z401">
        <v>58</v>
      </c>
      <c r="AA401" s="42" t="str">
        <f t="shared" si="215"/>
        <v>PHO/POR</v>
      </c>
    </row>
    <row r="402" spans="1:27" x14ac:dyDescent="0.3">
      <c r="A402" s="42">
        <v>191218</v>
      </c>
      <c r="B402" s="44">
        <v>0.375</v>
      </c>
      <c r="C402" s="42" t="s">
        <v>400</v>
      </c>
      <c r="D402" s="42" t="s">
        <v>419</v>
      </c>
      <c r="E402">
        <v>24</v>
      </c>
      <c r="F402">
        <v>26</v>
      </c>
      <c r="G402">
        <v>28</v>
      </c>
      <c r="H402">
        <v>27</v>
      </c>
      <c r="J402">
        <v>28</v>
      </c>
      <c r="K402">
        <v>24</v>
      </c>
      <c r="L402">
        <v>24</v>
      </c>
      <c r="M402">
        <v>26</v>
      </c>
      <c r="N402" s="2" t="s">
        <v>427</v>
      </c>
      <c r="O402" s="42">
        <f t="shared" si="205"/>
        <v>105</v>
      </c>
      <c r="P402" s="42">
        <f t="shared" si="206"/>
        <v>102</v>
      </c>
      <c r="Q402" s="42" t="str">
        <f t="shared" si="207"/>
        <v>HL</v>
      </c>
      <c r="R402" s="42" t="str">
        <f t="shared" si="208"/>
        <v>HW</v>
      </c>
      <c r="S402" s="42" t="str">
        <f t="shared" si="209"/>
        <v>HW</v>
      </c>
      <c r="T402" s="42" t="str">
        <f t="shared" si="210"/>
        <v>HW</v>
      </c>
      <c r="U402" s="42" t="str">
        <f t="shared" si="211"/>
        <v>U</v>
      </c>
      <c r="V402" s="42" t="str">
        <f t="shared" si="212"/>
        <v>U</v>
      </c>
      <c r="W402" s="42" t="str">
        <f t="shared" si="213"/>
        <v>U</v>
      </c>
      <c r="X402" s="42" t="str">
        <f t="shared" si="214"/>
        <v>U</v>
      </c>
      <c r="Z402">
        <v>54.5</v>
      </c>
      <c r="AA402" s="42" t="str">
        <f t="shared" si="215"/>
        <v>IND/LAL</v>
      </c>
    </row>
    <row r="403" spans="1:27" x14ac:dyDescent="0.3">
      <c r="A403" s="42">
        <v>191218</v>
      </c>
      <c r="B403" s="44">
        <v>0.375</v>
      </c>
      <c r="C403" s="42" t="s">
        <v>409</v>
      </c>
      <c r="D403" s="42" t="s">
        <v>416</v>
      </c>
      <c r="E403">
        <v>26</v>
      </c>
      <c r="F403">
        <v>27</v>
      </c>
      <c r="G403">
        <v>27</v>
      </c>
      <c r="H403">
        <v>30</v>
      </c>
      <c r="J403">
        <v>21</v>
      </c>
      <c r="K403">
        <v>26</v>
      </c>
      <c r="L403">
        <v>32</v>
      </c>
      <c r="M403">
        <v>23</v>
      </c>
      <c r="N403" s="2" t="s">
        <v>427</v>
      </c>
      <c r="O403" s="42">
        <f t="shared" si="205"/>
        <v>110</v>
      </c>
      <c r="P403" s="42">
        <f t="shared" si="206"/>
        <v>102</v>
      </c>
      <c r="Q403" s="42" t="str">
        <f t="shared" si="207"/>
        <v>HW</v>
      </c>
      <c r="R403" s="42" t="str">
        <f t="shared" si="208"/>
        <v>HW</v>
      </c>
      <c r="S403" s="42" t="str">
        <f t="shared" si="209"/>
        <v>HL</v>
      </c>
      <c r="T403" s="42" t="str">
        <f t="shared" si="210"/>
        <v>HW</v>
      </c>
      <c r="U403" s="42" t="str">
        <f t="shared" si="211"/>
        <v>U</v>
      </c>
      <c r="V403" s="42" t="str">
        <f t="shared" si="212"/>
        <v>U</v>
      </c>
      <c r="W403" s="42" t="str">
        <f t="shared" si="213"/>
        <v>O</v>
      </c>
      <c r="X403" s="42" t="str">
        <f t="shared" si="214"/>
        <v>U</v>
      </c>
      <c r="Z403">
        <v>54</v>
      </c>
      <c r="AA403" s="42" t="str">
        <f t="shared" si="215"/>
        <v>CHA/SAC</v>
      </c>
    </row>
    <row r="404" spans="1:27" x14ac:dyDescent="0.3">
      <c r="A404" s="42">
        <v>191218</v>
      </c>
      <c r="B404" s="44">
        <v>0.39583333333333331</v>
      </c>
      <c r="C404" s="42" t="s">
        <v>399</v>
      </c>
      <c r="D404" s="42" t="s">
        <v>410</v>
      </c>
      <c r="E404">
        <v>41</v>
      </c>
      <c r="F404">
        <v>36</v>
      </c>
      <c r="G404">
        <v>32</v>
      </c>
      <c r="H404">
        <v>34</v>
      </c>
      <c r="J404">
        <v>27</v>
      </c>
      <c r="K404">
        <v>26</v>
      </c>
      <c r="L404">
        <v>31</v>
      </c>
      <c r="M404">
        <v>36</v>
      </c>
      <c r="N404" s="2" t="s">
        <v>427</v>
      </c>
      <c r="O404" s="42">
        <f t="shared" si="205"/>
        <v>143</v>
      </c>
      <c r="P404" s="42">
        <f t="shared" si="206"/>
        <v>120</v>
      </c>
      <c r="Q404" s="42" t="str">
        <f t="shared" si="207"/>
        <v>HW</v>
      </c>
      <c r="R404" s="42" t="str">
        <f t="shared" si="208"/>
        <v>HW</v>
      </c>
      <c r="S404" s="42" t="str">
        <f t="shared" si="209"/>
        <v>HW</v>
      </c>
      <c r="T404" s="42" t="str">
        <f t="shared" si="210"/>
        <v>HL</v>
      </c>
      <c r="U404" s="42" t="str">
        <f t="shared" si="211"/>
        <v>O</v>
      </c>
      <c r="V404" s="42" t="str">
        <f t="shared" si="212"/>
        <v>O</v>
      </c>
      <c r="W404" s="42" t="str">
        <f t="shared" si="213"/>
        <v>O</v>
      </c>
      <c r="X404" s="42" t="str">
        <f t="shared" si="214"/>
        <v>O</v>
      </c>
      <c r="Z404">
        <v>58</v>
      </c>
      <c r="AA404" s="42" t="str">
        <f t="shared" si="215"/>
        <v>NYK/ATL</v>
      </c>
    </row>
    <row r="405" spans="1:27" x14ac:dyDescent="0.3">
      <c r="A405" s="42">
        <v>191218</v>
      </c>
      <c r="B405" s="44">
        <v>0.41666666666666669</v>
      </c>
      <c r="C405" s="42" t="s">
        <v>398</v>
      </c>
      <c r="D405" s="42" t="s">
        <v>407</v>
      </c>
      <c r="E405">
        <v>21</v>
      </c>
      <c r="F405">
        <v>14</v>
      </c>
      <c r="G405">
        <v>29</v>
      </c>
      <c r="H405">
        <v>29</v>
      </c>
      <c r="I405">
        <v>8</v>
      </c>
      <c r="J405">
        <v>21</v>
      </c>
      <c r="K405">
        <v>21</v>
      </c>
      <c r="L405">
        <v>19</v>
      </c>
      <c r="M405">
        <v>32</v>
      </c>
      <c r="N405" s="2">
        <v>15</v>
      </c>
      <c r="O405" s="42">
        <f t="shared" si="205"/>
        <v>101</v>
      </c>
      <c r="P405" s="42">
        <f t="shared" si="206"/>
        <v>108</v>
      </c>
      <c r="Q405" s="42" t="str">
        <f t="shared" si="207"/>
        <v>TT</v>
      </c>
      <c r="R405" s="42" t="str">
        <f t="shared" si="208"/>
        <v>HL</v>
      </c>
      <c r="S405" s="42" t="str">
        <f t="shared" si="209"/>
        <v>HW</v>
      </c>
      <c r="T405" s="42" t="str">
        <f t="shared" si="210"/>
        <v>HL</v>
      </c>
      <c r="U405" s="42" t="str">
        <f t="shared" si="211"/>
        <v>U</v>
      </c>
      <c r="V405" s="42" t="str">
        <f t="shared" si="212"/>
        <v>U</v>
      </c>
      <c r="W405" s="42" t="str">
        <f t="shared" si="213"/>
        <v>U</v>
      </c>
      <c r="X405" s="42" t="str">
        <f t="shared" si="214"/>
        <v>O</v>
      </c>
      <c r="Z405">
        <v>56</v>
      </c>
      <c r="AA405" s="42" t="str">
        <f t="shared" si="215"/>
        <v>NO/BKN</v>
      </c>
    </row>
    <row r="406" spans="1:27" x14ac:dyDescent="0.3">
      <c r="A406" s="42">
        <v>191218</v>
      </c>
      <c r="B406" s="44">
        <v>0.45833333333333331</v>
      </c>
      <c r="C406" s="42" t="s">
        <v>405</v>
      </c>
      <c r="D406" s="42" t="s">
        <v>424</v>
      </c>
      <c r="E406">
        <v>26</v>
      </c>
      <c r="F406">
        <v>32</v>
      </c>
      <c r="G406">
        <v>24</v>
      </c>
      <c r="H406">
        <v>27</v>
      </c>
      <c r="J406">
        <v>20</v>
      </c>
      <c r="K406">
        <v>27</v>
      </c>
      <c r="L406">
        <v>24</v>
      </c>
      <c r="M406">
        <v>31</v>
      </c>
      <c r="N406" s="2" t="s">
        <v>427</v>
      </c>
      <c r="O406" s="42">
        <f t="shared" si="205"/>
        <v>109</v>
      </c>
      <c r="P406" s="42">
        <f t="shared" si="206"/>
        <v>102</v>
      </c>
      <c r="Q406" s="42" t="str">
        <f t="shared" si="207"/>
        <v>HW</v>
      </c>
      <c r="R406" s="42" t="str">
        <f t="shared" si="208"/>
        <v>HW</v>
      </c>
      <c r="S406" s="42" t="str">
        <f t="shared" si="209"/>
        <v>TT</v>
      </c>
      <c r="T406" s="42" t="str">
        <f t="shared" si="210"/>
        <v>HL</v>
      </c>
      <c r="U406" s="42" t="str">
        <f t="shared" si="211"/>
        <v>U</v>
      </c>
      <c r="V406" s="42" t="str">
        <f t="shared" si="212"/>
        <v>O</v>
      </c>
      <c r="W406" s="42" t="str">
        <f t="shared" si="213"/>
        <v>U</v>
      </c>
      <c r="X406" s="42" t="str">
        <f t="shared" si="214"/>
        <v>O</v>
      </c>
      <c r="Z406">
        <v>53.5</v>
      </c>
      <c r="AA406" s="42" t="str">
        <f t="shared" si="215"/>
        <v>UTA/ORL</v>
      </c>
    </row>
    <row r="407" spans="1:27" x14ac:dyDescent="0.3">
      <c r="A407" s="42">
        <v>191218</v>
      </c>
      <c r="B407" s="44">
        <v>0.52083333333333337</v>
      </c>
      <c r="C407" s="42" t="s">
        <v>415</v>
      </c>
      <c r="D407" s="42" t="s">
        <v>404</v>
      </c>
      <c r="E407">
        <v>31</v>
      </c>
      <c r="F407">
        <v>23</v>
      </c>
      <c r="G407">
        <v>36</v>
      </c>
      <c r="H407">
        <v>30</v>
      </c>
      <c r="J407">
        <v>23</v>
      </c>
      <c r="K407">
        <v>21</v>
      </c>
      <c r="L407">
        <v>25</v>
      </c>
      <c r="M407">
        <v>30</v>
      </c>
      <c r="N407" s="2" t="s">
        <v>427</v>
      </c>
      <c r="O407" s="42">
        <f t="shared" si="205"/>
        <v>120</v>
      </c>
      <c r="P407" s="42">
        <f t="shared" si="206"/>
        <v>99</v>
      </c>
      <c r="Q407" s="42" t="str">
        <f t="shared" si="207"/>
        <v>HW</v>
      </c>
      <c r="R407" s="42" t="str">
        <f t="shared" si="208"/>
        <v>HW</v>
      </c>
      <c r="S407" s="42" t="str">
        <f t="shared" si="209"/>
        <v>HW</v>
      </c>
      <c r="T407" s="42" t="str">
        <f t="shared" si="210"/>
        <v>TT</v>
      </c>
      <c r="U407" s="42" t="str">
        <f t="shared" si="211"/>
        <v>U</v>
      </c>
      <c r="V407" s="42" t="str">
        <f t="shared" si="212"/>
        <v>U</v>
      </c>
      <c r="W407" s="42" t="str">
        <f t="shared" si="213"/>
        <v>O</v>
      </c>
      <c r="X407" s="42" t="str">
        <f t="shared" si="214"/>
        <v>O</v>
      </c>
      <c r="Z407">
        <v>55.5</v>
      </c>
      <c r="AA407" s="42" t="str">
        <f t="shared" si="215"/>
        <v>LAC/PHO</v>
      </c>
    </row>
    <row r="408" spans="1:27" x14ac:dyDescent="0.3">
      <c r="A408" s="50">
        <v>191219</v>
      </c>
      <c r="B408" s="44">
        <v>0.375</v>
      </c>
      <c r="C408" s="50" t="s">
        <v>402</v>
      </c>
      <c r="D408" s="50" t="s">
        <v>409</v>
      </c>
      <c r="E408" s="52">
        <v>29</v>
      </c>
      <c r="F408" s="52">
        <v>24</v>
      </c>
      <c r="G408" s="52">
        <v>23</v>
      </c>
      <c r="H408" s="52">
        <v>24</v>
      </c>
      <c r="I408" s="52"/>
      <c r="J408" s="52">
        <v>21</v>
      </c>
      <c r="K408" s="52">
        <v>20</v>
      </c>
      <c r="L408" s="52">
        <v>23</v>
      </c>
      <c r="M408" s="52">
        <v>34</v>
      </c>
      <c r="N408" s="52" t="s">
        <v>427</v>
      </c>
      <c r="O408" s="74">
        <f t="shared" ref="O408:O430" si="216">SUM(E408:I408)</f>
        <v>100</v>
      </c>
      <c r="P408" s="74">
        <f t="shared" ref="P408:P430" si="217">SUM(J408:N408)</f>
        <v>98</v>
      </c>
      <c r="Q408" s="74" t="str">
        <f t="shared" ref="Q408:Q430" si="218">IF(E408=J408,"TT",IF(E408&gt;J408,"HW","HL"))</f>
        <v>HW</v>
      </c>
      <c r="R408" s="74" t="str">
        <f t="shared" ref="R408:R430" si="219">IF(F408=K408,"TT",IF(F408&gt;K408,"HW","HL"))</f>
        <v>HW</v>
      </c>
      <c r="S408" s="74" t="str">
        <f t="shared" ref="S408:S430" si="220">IF(G408=L408,"TT",IF(G408&gt;L408,"HW","HL"))</f>
        <v>TT</v>
      </c>
      <c r="T408" s="74" t="str">
        <f t="shared" ref="T408:T430" si="221">IF(H408=M408,"TT",IF(H408&gt;M408,"HW","HL"))</f>
        <v>HL</v>
      </c>
      <c r="U408" s="74" t="str">
        <f t="shared" ref="U408:U430" si="222">IF(SUM(E408,J408)=$Z408,"T",IF(SUM(E408,J408)&gt;$Z408,"O","U"))</f>
        <v>U</v>
      </c>
      <c r="V408" s="74" t="str">
        <f t="shared" ref="V408:V430" si="223">IF(SUM(F408,K408)=$Z408,"T",IF(SUM(F408,K408)&gt;$Z408,"O","U"))</f>
        <v>U</v>
      </c>
      <c r="W408" s="74" t="str">
        <f t="shared" ref="W408:W430" si="224">IF(SUM(G408,L408)=$Z408,"T",IF(SUM(G408,L408)&gt;$Z408,"O","U"))</f>
        <v>U</v>
      </c>
      <c r="X408" s="74" t="str">
        <f t="shared" ref="X408:X430" si="225">IF(SUM(H408,M408)=$Z408,"T",IF(SUM(H408,M408)&gt;$Z408,"O","U"))</f>
        <v>O</v>
      </c>
      <c r="Z408">
        <v>54.5</v>
      </c>
      <c r="AA408" s="42" t="str">
        <f t="shared" si="215"/>
        <v>CLE/CHA</v>
      </c>
    </row>
    <row r="409" spans="1:27" x14ac:dyDescent="0.3">
      <c r="A409" s="50">
        <v>191219</v>
      </c>
      <c r="B409" s="44">
        <v>0.375</v>
      </c>
      <c r="C409" s="15" t="s">
        <v>422</v>
      </c>
      <c r="D409" s="15" t="s">
        <v>413</v>
      </c>
      <c r="E409" s="55">
        <v>29</v>
      </c>
      <c r="F409" s="55">
        <v>35</v>
      </c>
      <c r="G409" s="55">
        <v>15</v>
      </c>
      <c r="H409" s="55">
        <v>20</v>
      </c>
      <c r="I409" s="55"/>
      <c r="J409" s="55">
        <v>30</v>
      </c>
      <c r="K409" s="55">
        <v>40</v>
      </c>
      <c r="L409" s="55">
        <v>26</v>
      </c>
      <c r="M409" s="55">
        <v>16</v>
      </c>
      <c r="N409" s="55" t="s">
        <v>427</v>
      </c>
      <c r="O409" s="74">
        <f t="shared" si="216"/>
        <v>99</v>
      </c>
      <c r="P409" s="74">
        <f t="shared" si="217"/>
        <v>112</v>
      </c>
      <c r="Q409" s="74" t="str">
        <f t="shared" si="218"/>
        <v>HL</v>
      </c>
      <c r="R409" s="74" t="str">
        <f t="shared" si="219"/>
        <v>HL</v>
      </c>
      <c r="S409" s="74" t="str">
        <f t="shared" si="220"/>
        <v>HL</v>
      </c>
      <c r="T409" s="74" t="str">
        <f t="shared" si="221"/>
        <v>HW</v>
      </c>
      <c r="U409" s="74" t="str">
        <f t="shared" si="222"/>
        <v>O</v>
      </c>
      <c r="V409" s="74" t="str">
        <f t="shared" si="223"/>
        <v>O</v>
      </c>
      <c r="W409" s="74" t="str">
        <f t="shared" si="224"/>
        <v>U</v>
      </c>
      <c r="X409" s="74" t="str">
        <f t="shared" si="225"/>
        <v>U</v>
      </c>
      <c r="Z409">
        <v>56</v>
      </c>
      <c r="AA409" s="42" t="str">
        <f t="shared" si="215"/>
        <v>DET/TOR</v>
      </c>
    </row>
    <row r="410" spans="1:27" x14ac:dyDescent="0.3">
      <c r="A410" s="50">
        <v>191219</v>
      </c>
      <c r="B410" s="44">
        <v>0.375</v>
      </c>
      <c r="C410" s="15" t="s">
        <v>401</v>
      </c>
      <c r="D410" s="15" t="s">
        <v>411</v>
      </c>
      <c r="E410" s="58">
        <v>29</v>
      </c>
      <c r="F410" s="58">
        <v>19</v>
      </c>
      <c r="G410" s="58">
        <v>26</v>
      </c>
      <c r="H410" s="58">
        <v>30</v>
      </c>
      <c r="I410" s="58"/>
      <c r="J410" s="58">
        <v>19</v>
      </c>
      <c r="K410" s="58">
        <v>37</v>
      </c>
      <c r="L410" s="58">
        <v>26</v>
      </c>
      <c r="M410" s="58">
        <v>26</v>
      </c>
      <c r="N410" s="58" t="s">
        <v>427</v>
      </c>
      <c r="O410" s="74">
        <f t="shared" si="216"/>
        <v>104</v>
      </c>
      <c r="P410" s="74">
        <f t="shared" si="217"/>
        <v>108</v>
      </c>
      <c r="Q410" s="74" t="str">
        <f t="shared" si="218"/>
        <v>HW</v>
      </c>
      <c r="R410" s="74" t="str">
        <f t="shared" si="219"/>
        <v>HL</v>
      </c>
      <c r="S410" s="74" t="str">
        <f t="shared" si="220"/>
        <v>TT</v>
      </c>
      <c r="T410" s="74" t="str">
        <f t="shared" si="221"/>
        <v>HW</v>
      </c>
      <c r="U410" s="74" t="str">
        <f t="shared" si="222"/>
        <v>U</v>
      </c>
      <c r="V410" s="74" t="str">
        <f t="shared" si="223"/>
        <v>O</v>
      </c>
      <c r="W410" s="74" t="str">
        <f t="shared" si="224"/>
        <v>U</v>
      </c>
      <c r="X410" s="74" t="str">
        <f t="shared" si="225"/>
        <v>O</v>
      </c>
      <c r="Z410">
        <v>54.5</v>
      </c>
      <c r="AA410" s="42" t="str">
        <f t="shared" si="215"/>
        <v>PHI/MIA</v>
      </c>
    </row>
    <row r="411" spans="1:27" x14ac:dyDescent="0.3">
      <c r="A411" s="50">
        <v>191219</v>
      </c>
      <c r="B411" s="44">
        <v>0.375</v>
      </c>
      <c r="C411" s="50" t="s">
        <v>414</v>
      </c>
      <c r="D411" s="50" t="s">
        <v>412</v>
      </c>
      <c r="E411" s="60">
        <v>27</v>
      </c>
      <c r="F411" s="60">
        <v>31</v>
      </c>
      <c r="G411" s="60">
        <v>27</v>
      </c>
      <c r="H411" s="60">
        <v>13</v>
      </c>
      <c r="I411" s="60">
        <v>11</v>
      </c>
      <c r="J411" s="60">
        <v>23</v>
      </c>
      <c r="K411" s="60">
        <v>29</v>
      </c>
      <c r="L411" s="60">
        <v>21</v>
      </c>
      <c r="M411" s="60">
        <v>25</v>
      </c>
      <c r="N411" s="60">
        <v>12</v>
      </c>
      <c r="O411" s="74">
        <f t="shared" si="216"/>
        <v>109</v>
      </c>
      <c r="P411" s="74">
        <f t="shared" si="217"/>
        <v>110</v>
      </c>
      <c r="Q411" s="74" t="str">
        <f t="shared" si="218"/>
        <v>HW</v>
      </c>
      <c r="R411" s="74" t="str">
        <f t="shared" si="219"/>
        <v>HW</v>
      </c>
      <c r="S411" s="74" t="str">
        <f t="shared" si="220"/>
        <v>HW</v>
      </c>
      <c r="T411" s="74" t="str">
        <f t="shared" si="221"/>
        <v>HL</v>
      </c>
      <c r="U411" s="74" t="str">
        <f t="shared" si="222"/>
        <v>U</v>
      </c>
      <c r="V411" s="74" t="str">
        <f t="shared" si="223"/>
        <v>O</v>
      </c>
      <c r="W411" s="74" t="str">
        <f t="shared" si="224"/>
        <v>U</v>
      </c>
      <c r="X411" s="74" t="str">
        <f t="shared" si="225"/>
        <v>U</v>
      </c>
      <c r="Z411">
        <v>59</v>
      </c>
      <c r="AA411" s="42" t="str">
        <f t="shared" si="215"/>
        <v>WAS/CHI</v>
      </c>
    </row>
    <row r="412" spans="1:27" x14ac:dyDescent="0.3">
      <c r="A412" s="50">
        <v>191219</v>
      </c>
      <c r="B412" s="44">
        <v>0.41666666666666669</v>
      </c>
      <c r="C412" s="15" t="s">
        <v>420</v>
      </c>
      <c r="D412" s="13" t="s">
        <v>398</v>
      </c>
      <c r="E412" s="56">
        <v>25</v>
      </c>
      <c r="F412" s="56">
        <v>25</v>
      </c>
      <c r="G412" s="56">
        <v>22</v>
      </c>
      <c r="H412" s="56">
        <v>27</v>
      </c>
      <c r="I412" s="56"/>
      <c r="J412" s="56">
        <v>32</v>
      </c>
      <c r="K412" s="56">
        <v>31</v>
      </c>
      <c r="L412" s="56">
        <v>24</v>
      </c>
      <c r="M412" s="56">
        <v>20</v>
      </c>
      <c r="N412" s="56" t="s">
        <v>427</v>
      </c>
      <c r="O412" s="74">
        <f t="shared" si="216"/>
        <v>99</v>
      </c>
      <c r="P412" s="74">
        <f t="shared" si="217"/>
        <v>107</v>
      </c>
      <c r="Q412" s="74" t="str">
        <f t="shared" si="218"/>
        <v>HL</v>
      </c>
      <c r="R412" s="74" t="str">
        <f t="shared" si="219"/>
        <v>HL</v>
      </c>
      <c r="S412" s="74" t="str">
        <f t="shared" si="220"/>
        <v>HL</v>
      </c>
      <c r="T412" s="74" t="str">
        <f t="shared" si="221"/>
        <v>HW</v>
      </c>
      <c r="U412" s="74" t="str">
        <f t="shared" si="222"/>
        <v>U</v>
      </c>
      <c r="V412" s="74" t="str">
        <f t="shared" si="223"/>
        <v>U</v>
      </c>
      <c r="W412" s="74" t="str">
        <f t="shared" si="224"/>
        <v>U</v>
      </c>
      <c r="X412" s="74" t="str">
        <f t="shared" si="225"/>
        <v>U</v>
      </c>
      <c r="Z412">
        <v>59</v>
      </c>
      <c r="AA412" s="42" t="str">
        <f t="shared" si="215"/>
        <v>MIN/NO</v>
      </c>
    </row>
    <row r="413" spans="1:27" x14ac:dyDescent="0.3">
      <c r="A413" s="50">
        <v>191219</v>
      </c>
      <c r="B413" s="44">
        <v>0.41666666666666669</v>
      </c>
      <c r="C413" s="5" t="s">
        <v>418</v>
      </c>
      <c r="D413" s="5" t="s">
        <v>406</v>
      </c>
      <c r="E413" s="57">
        <v>27</v>
      </c>
      <c r="F413" s="57">
        <v>32</v>
      </c>
      <c r="G413" s="57">
        <v>34</v>
      </c>
      <c r="H413" s="57">
        <v>33</v>
      </c>
      <c r="I413" s="57"/>
      <c r="J413" s="57">
        <v>32</v>
      </c>
      <c r="K413" s="57">
        <v>36</v>
      </c>
      <c r="L413" s="57">
        <v>32</v>
      </c>
      <c r="M413" s="57">
        <v>22</v>
      </c>
      <c r="N413" s="57" t="s">
        <v>427</v>
      </c>
      <c r="O413" s="74">
        <f t="shared" si="216"/>
        <v>126</v>
      </c>
      <c r="P413" s="74">
        <f t="shared" si="217"/>
        <v>122</v>
      </c>
      <c r="Q413" s="74" t="str">
        <f t="shared" si="218"/>
        <v>HL</v>
      </c>
      <c r="R413" s="74" t="str">
        <f t="shared" si="219"/>
        <v>HL</v>
      </c>
      <c r="S413" s="74" t="str">
        <f t="shared" si="220"/>
        <v>HW</v>
      </c>
      <c r="T413" s="74" t="str">
        <f t="shared" si="221"/>
        <v>HW</v>
      </c>
      <c r="U413" s="74" t="str">
        <f t="shared" si="222"/>
        <v>O</v>
      </c>
      <c r="V413" s="74" t="str">
        <f t="shared" si="223"/>
        <v>O</v>
      </c>
      <c r="W413" s="74" t="str">
        <f t="shared" si="224"/>
        <v>O</v>
      </c>
      <c r="X413" s="74" t="str">
        <f t="shared" si="225"/>
        <v>O</v>
      </c>
      <c r="Z413">
        <v>54</v>
      </c>
      <c r="AA413" s="42" t="str">
        <f t="shared" si="215"/>
        <v>OKC/MEM</v>
      </c>
    </row>
    <row r="414" spans="1:27" x14ac:dyDescent="0.3">
      <c r="A414" s="50">
        <v>191219</v>
      </c>
      <c r="B414" s="44">
        <v>0.45833333333333331</v>
      </c>
      <c r="C414" s="13" t="s">
        <v>46</v>
      </c>
      <c r="D414" s="15" t="s">
        <v>424</v>
      </c>
      <c r="E414" s="54">
        <v>27</v>
      </c>
      <c r="F414" s="54">
        <v>18</v>
      </c>
      <c r="G414" s="54">
        <v>39</v>
      </c>
      <c r="H414" s="54">
        <v>29</v>
      </c>
      <c r="I414" s="54"/>
      <c r="J414" s="54">
        <v>32</v>
      </c>
      <c r="K414" s="54">
        <v>28</v>
      </c>
      <c r="L414" s="54">
        <v>16</v>
      </c>
      <c r="M414" s="54">
        <v>28</v>
      </c>
      <c r="N414" s="54" t="s">
        <v>427</v>
      </c>
      <c r="O414" s="74">
        <f t="shared" si="216"/>
        <v>113</v>
      </c>
      <c r="P414" s="74">
        <f t="shared" si="217"/>
        <v>104</v>
      </c>
      <c r="Q414" s="74" t="str">
        <f t="shared" si="218"/>
        <v>HL</v>
      </c>
      <c r="R414" s="74" t="str">
        <f t="shared" si="219"/>
        <v>HL</v>
      </c>
      <c r="S414" s="74" t="str">
        <f t="shared" si="220"/>
        <v>HW</v>
      </c>
      <c r="T414" s="74" t="str">
        <f t="shared" si="221"/>
        <v>HW</v>
      </c>
      <c r="U414" s="74" t="str">
        <f t="shared" si="222"/>
        <v>O</v>
      </c>
      <c r="V414" s="74" t="str">
        <f t="shared" si="223"/>
        <v>U</v>
      </c>
      <c r="W414" s="74" t="str">
        <f t="shared" si="224"/>
        <v>O</v>
      </c>
      <c r="X414" s="74" t="str">
        <f t="shared" si="225"/>
        <v>O</v>
      </c>
      <c r="Z414">
        <v>52.5</v>
      </c>
      <c r="AA414" s="42" t="str">
        <f t="shared" si="215"/>
        <v>DEN/ORL</v>
      </c>
    </row>
    <row r="415" spans="1:27" x14ac:dyDescent="0.3">
      <c r="A415" s="50">
        <v>191219</v>
      </c>
      <c r="B415" s="44">
        <v>0.47916666666666669</v>
      </c>
      <c r="C415" s="15" t="s">
        <v>98</v>
      </c>
      <c r="D415" s="48" t="s">
        <v>421</v>
      </c>
      <c r="E415" s="53">
        <v>29</v>
      </c>
      <c r="F415" s="53">
        <v>26</v>
      </c>
      <c r="G415" s="53">
        <v>18</v>
      </c>
      <c r="H415" s="53">
        <v>30</v>
      </c>
      <c r="I415" s="53"/>
      <c r="J415" s="53">
        <v>29</v>
      </c>
      <c r="K415" s="53">
        <v>21</v>
      </c>
      <c r="L415" s="53">
        <v>26</v>
      </c>
      <c r="M415" s="53">
        <v>33</v>
      </c>
      <c r="N415" s="53" t="s">
        <v>427</v>
      </c>
      <c r="O415" s="74">
        <f t="shared" si="216"/>
        <v>103</v>
      </c>
      <c r="P415" s="74">
        <f t="shared" si="217"/>
        <v>109</v>
      </c>
      <c r="Q415" s="74" t="str">
        <f t="shared" si="218"/>
        <v>TT</v>
      </c>
      <c r="R415" s="74" t="str">
        <f t="shared" si="219"/>
        <v>HW</v>
      </c>
      <c r="S415" s="74" t="str">
        <f t="shared" si="220"/>
        <v>HL</v>
      </c>
      <c r="T415" s="74" t="str">
        <f t="shared" si="221"/>
        <v>HL</v>
      </c>
      <c r="U415" s="74" t="str">
        <f t="shared" si="222"/>
        <v>O</v>
      </c>
      <c r="V415" s="74" t="str">
        <f t="shared" si="223"/>
        <v>U</v>
      </c>
      <c r="W415" s="74" t="str">
        <f t="shared" si="224"/>
        <v>U</v>
      </c>
      <c r="X415" s="74" t="str">
        <f t="shared" si="225"/>
        <v>O</v>
      </c>
      <c r="Z415">
        <v>52.5</v>
      </c>
      <c r="AA415" s="42" t="str">
        <f t="shared" si="215"/>
        <v>DAL/BOS</v>
      </c>
    </row>
    <row r="416" spans="1:27" x14ac:dyDescent="0.3">
      <c r="A416" s="50">
        <v>191219</v>
      </c>
      <c r="B416" s="44">
        <v>0.5</v>
      </c>
      <c r="C416" s="50" t="s">
        <v>417</v>
      </c>
      <c r="D416" s="50" t="s">
        <v>425</v>
      </c>
      <c r="E416" s="59">
        <v>40</v>
      </c>
      <c r="F416" s="59">
        <v>27</v>
      </c>
      <c r="G416" s="59">
        <v>30</v>
      </c>
      <c r="H416" s="59">
        <v>25</v>
      </c>
      <c r="I416" s="59"/>
      <c r="J416" s="59">
        <v>29</v>
      </c>
      <c r="K416" s="59">
        <v>37</v>
      </c>
      <c r="L416" s="59">
        <v>26</v>
      </c>
      <c r="M416" s="59">
        <v>20</v>
      </c>
      <c r="N416" s="59" t="s">
        <v>427</v>
      </c>
      <c r="O416" s="74">
        <f t="shared" si="216"/>
        <v>122</v>
      </c>
      <c r="P416" s="74">
        <f t="shared" si="217"/>
        <v>112</v>
      </c>
      <c r="Q416" s="74" t="str">
        <f t="shared" si="218"/>
        <v>HW</v>
      </c>
      <c r="R416" s="74" t="str">
        <f t="shared" si="219"/>
        <v>HL</v>
      </c>
      <c r="S416" s="74" t="str">
        <f t="shared" si="220"/>
        <v>HW</v>
      </c>
      <c r="T416" s="74" t="str">
        <f t="shared" si="221"/>
        <v>HW</v>
      </c>
      <c r="U416" s="74" t="str">
        <f t="shared" si="222"/>
        <v>O</v>
      </c>
      <c r="V416" s="74" t="str">
        <f t="shared" si="223"/>
        <v>O</v>
      </c>
      <c r="W416" s="74" t="str">
        <f t="shared" si="224"/>
        <v>U</v>
      </c>
      <c r="X416" s="74" t="str">
        <f t="shared" si="225"/>
        <v>U</v>
      </c>
      <c r="Z416">
        <v>56.5</v>
      </c>
      <c r="AA416" s="42" t="str">
        <f t="shared" si="215"/>
        <v>POR/GS</v>
      </c>
    </row>
    <row r="417" spans="1:27" x14ac:dyDescent="0.3">
      <c r="A417" s="50">
        <v>191220</v>
      </c>
      <c r="B417" s="51">
        <v>0.39583333333333331</v>
      </c>
      <c r="C417" s="50" t="s">
        <v>410</v>
      </c>
      <c r="D417" s="50" t="s">
        <v>405</v>
      </c>
      <c r="E417" s="61">
        <v>30</v>
      </c>
      <c r="F417" s="61">
        <v>26</v>
      </c>
      <c r="G417" s="61">
        <v>28</v>
      </c>
      <c r="H417" s="61">
        <v>22</v>
      </c>
      <c r="I417" s="61"/>
      <c r="J417" s="61">
        <v>28</v>
      </c>
      <c r="K417" s="61">
        <v>24</v>
      </c>
      <c r="L417" s="61">
        <v>31</v>
      </c>
      <c r="M417" s="61">
        <v>28</v>
      </c>
      <c r="N417" s="61" t="s">
        <v>427</v>
      </c>
      <c r="O417" s="74">
        <f t="shared" si="216"/>
        <v>106</v>
      </c>
      <c r="P417" s="74">
        <f t="shared" si="217"/>
        <v>111</v>
      </c>
      <c r="Q417" s="74" t="str">
        <f t="shared" si="218"/>
        <v>HW</v>
      </c>
      <c r="R417" s="74" t="str">
        <f t="shared" si="219"/>
        <v>HW</v>
      </c>
      <c r="S417" s="74" t="str">
        <f t="shared" si="220"/>
        <v>HL</v>
      </c>
      <c r="T417" s="74" t="str">
        <f t="shared" si="221"/>
        <v>HL</v>
      </c>
      <c r="U417" s="74" t="str">
        <f t="shared" si="222"/>
        <v>O</v>
      </c>
      <c r="V417" s="74" t="str">
        <f t="shared" si="223"/>
        <v>U</v>
      </c>
      <c r="W417" s="74" t="str">
        <f t="shared" si="224"/>
        <v>O</v>
      </c>
      <c r="X417" s="74" t="str">
        <f t="shared" si="225"/>
        <v>U</v>
      </c>
      <c r="Z417">
        <v>55</v>
      </c>
      <c r="AA417" s="74" t="str">
        <f t="shared" si="215"/>
        <v>ATL/UTA</v>
      </c>
    </row>
    <row r="418" spans="1:27" x14ac:dyDescent="0.3">
      <c r="A418" s="50">
        <v>191220</v>
      </c>
      <c r="B418" s="51">
        <v>0.41666666666666669</v>
      </c>
      <c r="C418" s="50" t="s">
        <v>423</v>
      </c>
      <c r="D418" s="50" t="s">
        <v>419</v>
      </c>
      <c r="E418" s="63">
        <v>23</v>
      </c>
      <c r="F418" s="63">
        <v>42</v>
      </c>
      <c r="G418" s="63">
        <v>24</v>
      </c>
      <c r="H418" s="63">
        <v>22</v>
      </c>
      <c r="I418" s="63"/>
      <c r="J418" s="63">
        <v>17</v>
      </c>
      <c r="K418" s="63">
        <v>29</v>
      </c>
      <c r="L418" s="63">
        <v>35</v>
      </c>
      <c r="M418" s="63">
        <v>23</v>
      </c>
      <c r="N418" s="63" t="s">
        <v>427</v>
      </c>
      <c r="O418" s="74">
        <f t="shared" si="216"/>
        <v>111</v>
      </c>
      <c r="P418" s="74">
        <f t="shared" si="217"/>
        <v>104</v>
      </c>
      <c r="Q418" s="74" t="str">
        <f t="shared" si="218"/>
        <v>HW</v>
      </c>
      <c r="R418" s="74" t="str">
        <f t="shared" si="219"/>
        <v>HW</v>
      </c>
      <c r="S418" s="74" t="str">
        <f t="shared" si="220"/>
        <v>HL</v>
      </c>
      <c r="T418" s="74" t="str">
        <f t="shared" si="221"/>
        <v>HL</v>
      </c>
      <c r="U418" s="74" t="str">
        <f t="shared" si="222"/>
        <v>U</v>
      </c>
      <c r="V418" s="74" t="str">
        <f t="shared" si="223"/>
        <v>O</v>
      </c>
      <c r="W418" s="74" t="str">
        <f t="shared" si="224"/>
        <v>O</v>
      </c>
      <c r="X418" s="74" t="str">
        <f t="shared" si="225"/>
        <v>U</v>
      </c>
      <c r="Z418">
        <v>58.5</v>
      </c>
      <c r="AA418" s="74" t="str">
        <f t="shared" si="215"/>
        <v>MIL/LAL</v>
      </c>
    </row>
    <row r="419" spans="1:27" x14ac:dyDescent="0.3">
      <c r="A419" s="50">
        <v>191220</v>
      </c>
      <c r="B419" s="51">
        <v>0.4375</v>
      </c>
      <c r="C419" s="50" t="s">
        <v>426</v>
      </c>
      <c r="D419" s="50" t="s">
        <v>407</v>
      </c>
      <c r="E419" s="64">
        <v>27</v>
      </c>
      <c r="F419" s="64">
        <v>23</v>
      </c>
      <c r="G419" s="64">
        <v>33</v>
      </c>
      <c r="H419" s="64">
        <v>35</v>
      </c>
      <c r="I419" s="64"/>
      <c r="J419" s="64">
        <v>33</v>
      </c>
      <c r="K419" s="64">
        <v>23</v>
      </c>
      <c r="L419" s="64">
        <v>25</v>
      </c>
      <c r="M419" s="64">
        <v>24</v>
      </c>
      <c r="N419" s="64" t="s">
        <v>427</v>
      </c>
      <c r="O419" s="74">
        <f t="shared" si="216"/>
        <v>118</v>
      </c>
      <c r="P419" s="74">
        <f t="shared" si="217"/>
        <v>105</v>
      </c>
      <c r="Q419" s="74" t="str">
        <f t="shared" si="218"/>
        <v>HL</v>
      </c>
      <c r="R419" s="74" t="str">
        <f t="shared" si="219"/>
        <v>TT</v>
      </c>
      <c r="S419" s="74" t="str">
        <f t="shared" si="220"/>
        <v>HW</v>
      </c>
      <c r="T419" s="74" t="str">
        <f t="shared" si="221"/>
        <v>HW</v>
      </c>
      <c r="U419" s="74" t="str">
        <f t="shared" si="222"/>
        <v>O</v>
      </c>
      <c r="V419" s="74" t="str">
        <f t="shared" si="223"/>
        <v>U</v>
      </c>
      <c r="W419" s="74" t="str">
        <f t="shared" si="224"/>
        <v>O</v>
      </c>
      <c r="X419" s="74" t="str">
        <f t="shared" si="225"/>
        <v>O</v>
      </c>
      <c r="Z419">
        <v>53.5</v>
      </c>
      <c r="AA419" s="74" t="str">
        <f t="shared" si="215"/>
        <v>SAS/BKN</v>
      </c>
    </row>
    <row r="420" spans="1:27" x14ac:dyDescent="0.3">
      <c r="A420" s="50">
        <v>191220</v>
      </c>
      <c r="B420" s="51">
        <v>0.52083333333333337</v>
      </c>
      <c r="C420" s="50" t="s">
        <v>415</v>
      </c>
      <c r="D420" s="50" t="s">
        <v>403</v>
      </c>
      <c r="E420" s="62">
        <v>28</v>
      </c>
      <c r="F420" s="62">
        <v>41</v>
      </c>
      <c r="G420" s="62">
        <v>18</v>
      </c>
      <c r="H420" s="62">
        <v>30</v>
      </c>
      <c r="I420" s="62"/>
      <c r="J420" s="62">
        <v>27</v>
      </c>
      <c r="K420" s="62">
        <v>27</v>
      </c>
      <c r="L420" s="62">
        <v>36</v>
      </c>
      <c r="M420" s="62">
        <v>32</v>
      </c>
      <c r="N420" s="62" t="s">
        <v>427</v>
      </c>
      <c r="O420" s="74">
        <f t="shared" si="216"/>
        <v>117</v>
      </c>
      <c r="P420" s="74">
        <f t="shared" si="217"/>
        <v>122</v>
      </c>
      <c r="Q420" s="74" t="str">
        <f t="shared" si="218"/>
        <v>HW</v>
      </c>
      <c r="R420" s="74" t="str">
        <f t="shared" si="219"/>
        <v>HW</v>
      </c>
      <c r="S420" s="74" t="str">
        <f t="shared" si="220"/>
        <v>HL</v>
      </c>
      <c r="T420" s="74" t="str">
        <f t="shared" si="221"/>
        <v>HL</v>
      </c>
      <c r="U420" s="74" t="str">
        <f t="shared" si="222"/>
        <v>U</v>
      </c>
      <c r="V420" s="74" t="str">
        <f t="shared" si="223"/>
        <v>O</v>
      </c>
      <c r="W420" s="74" t="str">
        <f t="shared" si="224"/>
        <v>U</v>
      </c>
      <c r="X420" s="74" t="str">
        <f t="shared" si="225"/>
        <v>O</v>
      </c>
      <c r="Z420">
        <v>60.5</v>
      </c>
      <c r="AA420" s="74" t="str">
        <f t="shared" si="215"/>
        <v>LAC/HOU</v>
      </c>
    </row>
    <row r="421" spans="1:27" x14ac:dyDescent="0.3">
      <c r="A421" s="50">
        <v>191221</v>
      </c>
      <c r="B421" s="51">
        <v>0.375</v>
      </c>
      <c r="C421" s="50" t="s">
        <v>402</v>
      </c>
      <c r="D421" s="50" t="s">
        <v>406</v>
      </c>
      <c r="E421" s="66">
        <v>25</v>
      </c>
      <c r="F421" s="66">
        <v>30</v>
      </c>
      <c r="G421" s="66">
        <v>26</v>
      </c>
      <c r="H421" s="66">
        <v>33</v>
      </c>
      <c r="I421" s="66"/>
      <c r="J421" s="66">
        <v>27</v>
      </c>
      <c r="K421" s="66">
        <v>24</v>
      </c>
      <c r="L421" s="66">
        <v>36</v>
      </c>
      <c r="M421" s="66">
        <v>20</v>
      </c>
      <c r="N421" s="66" t="s">
        <v>427</v>
      </c>
      <c r="O421" s="74">
        <f t="shared" si="216"/>
        <v>114</v>
      </c>
      <c r="P421" s="74">
        <f t="shared" si="217"/>
        <v>107</v>
      </c>
      <c r="Q421" s="74" t="str">
        <f t="shared" si="218"/>
        <v>HL</v>
      </c>
      <c r="R421" s="74" t="str">
        <f t="shared" si="219"/>
        <v>HW</v>
      </c>
      <c r="S421" s="74" t="str">
        <f t="shared" si="220"/>
        <v>HL</v>
      </c>
      <c r="T421" s="74" t="str">
        <f t="shared" si="221"/>
        <v>HW</v>
      </c>
      <c r="U421" s="74" t="str">
        <f t="shared" si="222"/>
        <v>U</v>
      </c>
      <c r="V421" s="74" t="str">
        <f t="shared" si="223"/>
        <v>U</v>
      </c>
      <c r="W421" s="74" t="str">
        <f t="shared" si="224"/>
        <v>O</v>
      </c>
      <c r="X421" s="74" t="str">
        <f t="shared" si="225"/>
        <v>U</v>
      </c>
      <c r="Z421">
        <v>55</v>
      </c>
      <c r="AA421" s="74" t="str">
        <f t="shared" si="215"/>
        <v>CLE/MEM</v>
      </c>
    </row>
    <row r="422" spans="1:27" x14ac:dyDescent="0.3">
      <c r="A422" s="50">
        <v>191221</v>
      </c>
      <c r="B422" s="51">
        <v>0.375</v>
      </c>
      <c r="C422" s="50" t="s">
        <v>400</v>
      </c>
      <c r="D422" s="50" t="s">
        <v>416</v>
      </c>
      <c r="E422" s="69">
        <v>30</v>
      </c>
      <c r="F422" s="69">
        <v>38</v>
      </c>
      <c r="G422" s="69">
        <v>24</v>
      </c>
      <c r="H422" s="69">
        <v>27</v>
      </c>
      <c r="I422" s="69"/>
      <c r="J422" s="69">
        <v>32</v>
      </c>
      <c r="K422" s="69">
        <v>25</v>
      </c>
      <c r="L422" s="69">
        <v>22</v>
      </c>
      <c r="M422" s="69">
        <v>26</v>
      </c>
      <c r="N422" s="69" t="s">
        <v>427</v>
      </c>
      <c r="O422" s="74">
        <f t="shared" si="216"/>
        <v>119</v>
      </c>
      <c r="P422" s="74">
        <f t="shared" si="217"/>
        <v>105</v>
      </c>
      <c r="Q422" s="74" t="str">
        <f t="shared" si="218"/>
        <v>HL</v>
      </c>
      <c r="R422" s="74" t="str">
        <f t="shared" si="219"/>
        <v>HW</v>
      </c>
      <c r="S422" s="74" t="str">
        <f t="shared" si="220"/>
        <v>HW</v>
      </c>
      <c r="T422" s="74" t="str">
        <f t="shared" si="221"/>
        <v>HW</v>
      </c>
      <c r="U422" s="74" t="str">
        <f t="shared" si="222"/>
        <v>O</v>
      </c>
      <c r="V422" s="74" t="str">
        <f t="shared" si="223"/>
        <v>O</v>
      </c>
      <c r="W422" s="74" t="str">
        <f t="shared" si="224"/>
        <v>U</v>
      </c>
      <c r="X422" s="74" t="str">
        <f t="shared" si="225"/>
        <v>U</v>
      </c>
      <c r="Z422">
        <v>54</v>
      </c>
      <c r="AA422" s="74" t="str">
        <f t="shared" si="215"/>
        <v>IND/SAC</v>
      </c>
    </row>
    <row r="423" spans="1:27" x14ac:dyDescent="0.3">
      <c r="A423" s="50">
        <v>191221</v>
      </c>
      <c r="B423" s="51">
        <v>0.39583333333333331</v>
      </c>
      <c r="C423" s="50" t="s">
        <v>421</v>
      </c>
      <c r="D423" s="50" t="s">
        <v>422</v>
      </c>
      <c r="E423" s="65">
        <v>28</v>
      </c>
      <c r="F423" s="65">
        <v>32</v>
      </c>
      <c r="G423" s="65">
        <v>31</v>
      </c>
      <c r="H423" s="65">
        <v>23</v>
      </c>
      <c r="I423" s="65"/>
      <c r="J423" s="65">
        <v>26</v>
      </c>
      <c r="K423" s="65">
        <v>22</v>
      </c>
      <c r="L423" s="65">
        <v>21</v>
      </c>
      <c r="M423" s="65">
        <v>24</v>
      </c>
      <c r="N423" s="65" t="s">
        <v>427</v>
      </c>
      <c r="O423" s="74">
        <f t="shared" si="216"/>
        <v>114</v>
      </c>
      <c r="P423" s="74">
        <f t="shared" si="217"/>
        <v>93</v>
      </c>
      <c r="Q423" s="74" t="str">
        <f t="shared" si="218"/>
        <v>HW</v>
      </c>
      <c r="R423" s="74" t="str">
        <f t="shared" si="219"/>
        <v>HW</v>
      </c>
      <c r="S423" s="74" t="str">
        <f t="shared" si="220"/>
        <v>HW</v>
      </c>
      <c r="T423" s="74" t="str">
        <f t="shared" si="221"/>
        <v>HL</v>
      </c>
      <c r="U423" s="74" t="str">
        <f t="shared" si="222"/>
        <v>U</v>
      </c>
      <c r="V423" s="74" t="str">
        <f t="shared" si="223"/>
        <v>U</v>
      </c>
      <c r="W423" s="74" t="str">
        <f t="shared" si="224"/>
        <v>U</v>
      </c>
      <c r="X423" s="74" t="str">
        <f t="shared" si="225"/>
        <v>U</v>
      </c>
      <c r="Z423">
        <v>54.5</v>
      </c>
      <c r="AA423" s="74" t="str">
        <f t="shared" si="215"/>
        <v>BOS/DET</v>
      </c>
    </row>
    <row r="424" spans="1:27" x14ac:dyDescent="0.3">
      <c r="A424" s="50">
        <v>191221</v>
      </c>
      <c r="B424" s="51">
        <v>0.39583333333333331</v>
      </c>
      <c r="C424" s="50" t="s">
        <v>413</v>
      </c>
      <c r="D424" s="50" t="s">
        <v>414</v>
      </c>
      <c r="E424" s="74">
        <v>40</v>
      </c>
      <c r="F424" s="74">
        <v>28</v>
      </c>
      <c r="G424" s="74">
        <v>28</v>
      </c>
      <c r="H424" s="74">
        <v>26</v>
      </c>
      <c r="I424" s="74"/>
      <c r="J424" s="74">
        <v>23</v>
      </c>
      <c r="K424" s="74">
        <v>29</v>
      </c>
      <c r="L424" s="74">
        <v>33</v>
      </c>
      <c r="M424" s="74">
        <v>33</v>
      </c>
      <c r="N424" s="74" t="s">
        <v>427</v>
      </c>
      <c r="O424" s="74">
        <f t="shared" si="216"/>
        <v>122</v>
      </c>
      <c r="P424" s="74">
        <f t="shared" si="217"/>
        <v>118</v>
      </c>
      <c r="Q424" s="74" t="str">
        <f t="shared" si="218"/>
        <v>HW</v>
      </c>
      <c r="R424" s="74" t="str">
        <f t="shared" si="219"/>
        <v>HL</v>
      </c>
      <c r="S424" s="74" t="str">
        <f t="shared" si="220"/>
        <v>HL</v>
      </c>
      <c r="T424" s="74" t="str">
        <f t="shared" si="221"/>
        <v>HL</v>
      </c>
      <c r="U424" s="74" t="str">
        <f t="shared" si="222"/>
        <v>O</v>
      </c>
      <c r="V424" s="74" t="str">
        <f t="shared" si="223"/>
        <v>U</v>
      </c>
      <c r="W424" s="74" t="str">
        <f t="shared" si="224"/>
        <v>O</v>
      </c>
      <c r="X424" s="74" t="str">
        <f t="shared" si="225"/>
        <v>T</v>
      </c>
      <c r="Z424">
        <v>59</v>
      </c>
      <c r="AA424" s="74" t="str">
        <f t="shared" si="215"/>
        <v>TOR/WAS</v>
      </c>
    </row>
    <row r="425" spans="1:27" x14ac:dyDescent="0.3">
      <c r="A425" s="50">
        <v>191221</v>
      </c>
      <c r="B425" s="51">
        <v>0.41666666666666669</v>
      </c>
      <c r="C425" s="50" t="s">
        <v>411</v>
      </c>
      <c r="D425" s="50" t="s">
        <v>399</v>
      </c>
      <c r="E425" s="70">
        <v>39</v>
      </c>
      <c r="F425" s="70">
        <v>31</v>
      </c>
      <c r="G425" s="70">
        <v>28</v>
      </c>
      <c r="H425" s="70">
        <v>31</v>
      </c>
      <c r="I425" s="70"/>
      <c r="J425" s="70">
        <v>20</v>
      </c>
      <c r="K425" s="70">
        <v>27</v>
      </c>
      <c r="L425" s="70">
        <v>27</v>
      </c>
      <c r="M425" s="70">
        <v>40</v>
      </c>
      <c r="N425" s="70" t="s">
        <v>427</v>
      </c>
      <c r="O425" s="74">
        <f t="shared" si="216"/>
        <v>129</v>
      </c>
      <c r="P425" s="74">
        <f t="shared" si="217"/>
        <v>114</v>
      </c>
      <c r="Q425" s="74" t="str">
        <f t="shared" si="218"/>
        <v>HW</v>
      </c>
      <c r="R425" s="74" t="str">
        <f t="shared" si="219"/>
        <v>HW</v>
      </c>
      <c r="S425" s="74" t="str">
        <f t="shared" si="220"/>
        <v>HW</v>
      </c>
      <c r="T425" s="74" t="str">
        <f t="shared" si="221"/>
        <v>HL</v>
      </c>
      <c r="U425" s="74" t="str">
        <f t="shared" si="222"/>
        <v>O</v>
      </c>
      <c r="V425" s="74" t="str">
        <f t="shared" si="223"/>
        <v>O</v>
      </c>
      <c r="W425" s="74" t="str">
        <f t="shared" si="224"/>
        <v>U</v>
      </c>
      <c r="X425" s="74" t="str">
        <f t="shared" si="225"/>
        <v>O</v>
      </c>
      <c r="Z425">
        <v>55.5</v>
      </c>
      <c r="AA425" s="74" t="str">
        <f t="shared" si="215"/>
        <v>MIA/NYK</v>
      </c>
    </row>
    <row r="426" spans="1:27" x14ac:dyDescent="0.3">
      <c r="A426" s="50">
        <v>191221</v>
      </c>
      <c r="B426" s="51">
        <v>0.41666666666666669</v>
      </c>
      <c r="C426" s="50" t="s">
        <v>401</v>
      </c>
      <c r="D426" s="50" t="s">
        <v>397</v>
      </c>
      <c r="E426" s="72">
        <v>28</v>
      </c>
      <c r="F426" s="72">
        <v>29</v>
      </c>
      <c r="G426" s="72">
        <v>20</v>
      </c>
      <c r="H426" s="72">
        <v>21</v>
      </c>
      <c r="I426" s="72"/>
      <c r="J426" s="72">
        <v>35</v>
      </c>
      <c r="K426" s="72">
        <v>28</v>
      </c>
      <c r="L426" s="72">
        <v>25</v>
      </c>
      <c r="M426" s="72">
        <v>29</v>
      </c>
      <c r="N426" s="72" t="s">
        <v>427</v>
      </c>
      <c r="O426" s="74">
        <f t="shared" si="216"/>
        <v>98</v>
      </c>
      <c r="P426" s="74">
        <f t="shared" si="217"/>
        <v>117</v>
      </c>
      <c r="Q426" s="74" t="str">
        <f t="shared" si="218"/>
        <v>HL</v>
      </c>
      <c r="R426" s="74" t="str">
        <f t="shared" si="219"/>
        <v>HW</v>
      </c>
      <c r="S426" s="74" t="str">
        <f t="shared" si="220"/>
        <v>HL</v>
      </c>
      <c r="T426" s="74" t="str">
        <f t="shared" si="221"/>
        <v>HL</v>
      </c>
      <c r="U426" s="74" t="str">
        <f t="shared" si="222"/>
        <v>O</v>
      </c>
      <c r="V426" s="74" t="str">
        <f t="shared" si="223"/>
        <v>O</v>
      </c>
      <c r="W426" s="74" t="str">
        <f t="shared" si="224"/>
        <v>U</v>
      </c>
      <c r="X426" s="74" t="str">
        <f t="shared" si="225"/>
        <v>U</v>
      </c>
      <c r="Z426">
        <v>54.5</v>
      </c>
      <c r="AA426" s="74" t="str">
        <f t="shared" si="215"/>
        <v>PHI/DAL</v>
      </c>
    </row>
    <row r="427" spans="1:27" x14ac:dyDescent="0.3">
      <c r="A427" s="50">
        <v>191221</v>
      </c>
      <c r="B427" s="51">
        <v>0.41666666666666669</v>
      </c>
      <c r="C427" s="50" t="s">
        <v>418</v>
      </c>
      <c r="D427" s="50" t="s">
        <v>404</v>
      </c>
      <c r="E427" s="71">
        <v>26</v>
      </c>
      <c r="F427" s="71">
        <v>31</v>
      </c>
      <c r="G427" s="71">
        <v>44</v>
      </c>
      <c r="H427" s="71">
        <v>25</v>
      </c>
      <c r="I427" s="71"/>
      <c r="J427" s="71">
        <v>23</v>
      </c>
      <c r="K427" s="71">
        <v>27</v>
      </c>
      <c r="L427" s="71">
        <v>41</v>
      </c>
      <c r="M427" s="71">
        <v>17</v>
      </c>
      <c r="N427" s="71" t="s">
        <v>427</v>
      </c>
      <c r="O427" s="74">
        <f t="shared" si="216"/>
        <v>126</v>
      </c>
      <c r="P427" s="74">
        <f t="shared" si="217"/>
        <v>108</v>
      </c>
      <c r="Q427" s="74" t="str">
        <f t="shared" si="218"/>
        <v>HW</v>
      </c>
      <c r="R427" s="74" t="str">
        <f t="shared" si="219"/>
        <v>HW</v>
      </c>
      <c r="S427" s="74" t="str">
        <f t="shared" si="220"/>
        <v>HW</v>
      </c>
      <c r="T427" s="74" t="str">
        <f t="shared" si="221"/>
        <v>HW</v>
      </c>
      <c r="U427" s="74" t="str">
        <f t="shared" si="222"/>
        <v>U</v>
      </c>
      <c r="V427" s="74" t="str">
        <f t="shared" si="223"/>
        <v>O</v>
      </c>
      <c r="W427" s="74" t="str">
        <f t="shared" si="224"/>
        <v>O</v>
      </c>
      <c r="X427" s="74" t="str">
        <f t="shared" si="225"/>
        <v>U</v>
      </c>
      <c r="Z427">
        <v>54</v>
      </c>
      <c r="AA427" s="74" t="str">
        <f t="shared" si="215"/>
        <v>OKC/PHO</v>
      </c>
    </row>
    <row r="428" spans="1:27" x14ac:dyDescent="0.3">
      <c r="A428" s="50">
        <v>191221</v>
      </c>
      <c r="B428" s="51">
        <v>0.45833333333333331</v>
      </c>
      <c r="C428" s="50" t="s">
        <v>408</v>
      </c>
      <c r="D428" s="50" t="s">
        <v>420</v>
      </c>
      <c r="E428" s="67">
        <v>33</v>
      </c>
      <c r="F428" s="67">
        <v>28</v>
      </c>
      <c r="G428" s="67">
        <v>21</v>
      </c>
      <c r="H428" s="67">
        <v>27</v>
      </c>
      <c r="I428" s="67"/>
      <c r="J428" s="67">
        <v>20</v>
      </c>
      <c r="K428" s="67">
        <v>31</v>
      </c>
      <c r="L428" s="67">
        <v>24</v>
      </c>
      <c r="M428" s="67">
        <v>25</v>
      </c>
      <c r="N428" s="67" t="s">
        <v>427</v>
      </c>
      <c r="O428" s="74">
        <f t="shared" si="216"/>
        <v>109</v>
      </c>
      <c r="P428" s="74">
        <f t="shared" si="217"/>
        <v>100</v>
      </c>
      <c r="Q428" s="74" t="str">
        <f t="shared" si="218"/>
        <v>HW</v>
      </c>
      <c r="R428" s="74" t="str">
        <f t="shared" si="219"/>
        <v>HL</v>
      </c>
      <c r="S428" s="74" t="str">
        <f t="shared" si="220"/>
        <v>HL</v>
      </c>
      <c r="T428" s="74" t="str">
        <f t="shared" si="221"/>
        <v>HW</v>
      </c>
      <c r="U428" s="74" t="str">
        <f t="shared" si="222"/>
        <v>U</v>
      </c>
      <c r="V428" s="74" t="str">
        <f t="shared" si="223"/>
        <v>O</v>
      </c>
      <c r="W428" s="74" t="str">
        <f t="shared" si="224"/>
        <v>U</v>
      </c>
      <c r="X428" s="74" t="str">
        <f t="shared" si="225"/>
        <v>U</v>
      </c>
      <c r="Z428">
        <v>55.5</v>
      </c>
      <c r="AA428" s="74" t="str">
        <f t="shared" si="215"/>
        <v>DEN/MIN</v>
      </c>
    </row>
    <row r="429" spans="1:27" x14ac:dyDescent="0.3">
      <c r="A429" s="50">
        <v>191221</v>
      </c>
      <c r="B429" s="51">
        <v>0.5</v>
      </c>
      <c r="C429" s="50" t="s">
        <v>417</v>
      </c>
      <c r="D429" s="50" t="s">
        <v>424</v>
      </c>
      <c r="E429" s="73">
        <v>31</v>
      </c>
      <c r="F429" s="73">
        <v>26</v>
      </c>
      <c r="G429" s="73">
        <v>36</v>
      </c>
      <c r="H429" s="73">
        <v>25</v>
      </c>
      <c r="I429" s="73"/>
      <c r="J429" s="73">
        <v>13</v>
      </c>
      <c r="K429" s="73">
        <v>31</v>
      </c>
      <c r="L429" s="73">
        <v>31</v>
      </c>
      <c r="M429" s="73">
        <v>28</v>
      </c>
      <c r="N429" s="73" t="s">
        <v>427</v>
      </c>
      <c r="O429" s="74">
        <f t="shared" si="216"/>
        <v>118</v>
      </c>
      <c r="P429" s="74">
        <f t="shared" si="217"/>
        <v>103</v>
      </c>
      <c r="Q429" s="74" t="str">
        <f t="shared" si="218"/>
        <v>HW</v>
      </c>
      <c r="R429" s="74" t="str">
        <f t="shared" si="219"/>
        <v>HL</v>
      </c>
      <c r="S429" s="74" t="str">
        <f t="shared" si="220"/>
        <v>HW</v>
      </c>
      <c r="T429" s="74" t="str">
        <f t="shared" si="221"/>
        <v>HL</v>
      </c>
      <c r="U429" s="74" t="str">
        <f t="shared" si="222"/>
        <v>U</v>
      </c>
      <c r="V429" s="74" t="str">
        <f t="shared" si="223"/>
        <v>O</v>
      </c>
      <c r="W429" s="74" t="str">
        <f t="shared" si="224"/>
        <v>O</v>
      </c>
      <c r="X429" s="74" t="str">
        <f t="shared" si="225"/>
        <v>U</v>
      </c>
      <c r="Z429">
        <v>56</v>
      </c>
      <c r="AA429" s="74" t="str">
        <f t="shared" si="215"/>
        <v>POR/ORL</v>
      </c>
    </row>
    <row r="430" spans="1:27" x14ac:dyDescent="0.3">
      <c r="A430" s="50">
        <v>191221</v>
      </c>
      <c r="B430" s="51">
        <v>0.52083333333333337</v>
      </c>
      <c r="C430" s="50" t="s">
        <v>425</v>
      </c>
      <c r="D430" s="50" t="s">
        <v>398</v>
      </c>
      <c r="E430" s="68">
        <v>31</v>
      </c>
      <c r="F430" s="68">
        <v>25</v>
      </c>
      <c r="G430" s="68">
        <v>22</v>
      </c>
      <c r="H430" s="68">
        <v>28</v>
      </c>
      <c r="I430" s="68"/>
      <c r="J430" s="68">
        <v>16</v>
      </c>
      <c r="K430" s="68">
        <v>28</v>
      </c>
      <c r="L430" s="68">
        <v>37</v>
      </c>
      <c r="M430" s="68">
        <v>21</v>
      </c>
      <c r="N430" s="68" t="s">
        <v>427</v>
      </c>
      <c r="O430" s="74">
        <f t="shared" si="216"/>
        <v>106</v>
      </c>
      <c r="P430" s="74">
        <f t="shared" si="217"/>
        <v>102</v>
      </c>
      <c r="Q430" s="74" t="str">
        <f t="shared" si="218"/>
        <v>HW</v>
      </c>
      <c r="R430" s="74" t="str">
        <f t="shared" si="219"/>
        <v>HL</v>
      </c>
      <c r="S430" s="74" t="str">
        <f t="shared" si="220"/>
        <v>HL</v>
      </c>
      <c r="T430" s="74" t="str">
        <f t="shared" si="221"/>
        <v>HW</v>
      </c>
      <c r="U430" s="74" t="str">
        <f t="shared" si="222"/>
        <v>U</v>
      </c>
      <c r="V430" s="74" t="str">
        <f t="shared" si="223"/>
        <v>U</v>
      </c>
      <c r="W430" s="74" t="str">
        <f t="shared" si="224"/>
        <v>O</v>
      </c>
      <c r="X430" s="74" t="str">
        <f t="shared" si="225"/>
        <v>U</v>
      </c>
      <c r="Z430">
        <v>57.5</v>
      </c>
      <c r="AA430" s="74" t="str">
        <f t="shared" si="215"/>
        <v>GS/NO</v>
      </c>
    </row>
    <row r="431" spans="1:27" x14ac:dyDescent="0.3">
      <c r="A431" s="50">
        <v>191222</v>
      </c>
      <c r="B431" s="51">
        <v>0.29166666666666669</v>
      </c>
      <c r="C431" s="13" t="s">
        <v>428</v>
      </c>
      <c r="D431" s="15" t="s">
        <v>405</v>
      </c>
      <c r="AA431" s="74" t="str">
        <f t="shared" si="215"/>
        <v>CHA/UTA</v>
      </c>
    </row>
    <row r="432" spans="1:27" x14ac:dyDescent="0.3">
      <c r="A432" s="50">
        <v>191222</v>
      </c>
      <c r="B432" s="51">
        <v>0.33333333333333331</v>
      </c>
      <c r="C432" s="15" t="s">
        <v>407</v>
      </c>
      <c r="D432" s="50" t="s">
        <v>410</v>
      </c>
      <c r="AA432" s="74" t="str">
        <f t="shared" si="215"/>
        <v>BKN/ATL</v>
      </c>
    </row>
    <row r="433" spans="1:27" x14ac:dyDescent="0.3">
      <c r="A433" s="50">
        <v>191222</v>
      </c>
      <c r="B433" s="51">
        <v>0.375</v>
      </c>
      <c r="C433" s="15" t="s">
        <v>422</v>
      </c>
      <c r="D433" s="13" t="s">
        <v>412</v>
      </c>
      <c r="AA433" s="74" t="str">
        <f t="shared" si="215"/>
        <v>DET/CHI</v>
      </c>
    </row>
    <row r="434" spans="1:27" x14ac:dyDescent="0.3">
      <c r="A434" s="50">
        <v>191222</v>
      </c>
      <c r="B434" s="51">
        <v>0.375</v>
      </c>
      <c r="C434" s="5" t="s">
        <v>401</v>
      </c>
      <c r="D434" s="50" t="s">
        <v>414</v>
      </c>
      <c r="AA434" s="74" t="str">
        <f t="shared" si="215"/>
        <v>PHI/WAS</v>
      </c>
    </row>
    <row r="435" spans="1:27" x14ac:dyDescent="0.3">
      <c r="A435" s="50">
        <v>191222</v>
      </c>
      <c r="B435" s="51">
        <v>0.39583333333333331</v>
      </c>
      <c r="C435" s="50" t="s">
        <v>429</v>
      </c>
      <c r="D435" s="50" t="s">
        <v>423</v>
      </c>
      <c r="AA435" s="74" t="str">
        <f t="shared" si="215"/>
        <v>NYK/MIL</v>
      </c>
    </row>
    <row r="436" spans="1:27" x14ac:dyDescent="0.3">
      <c r="A436" s="50">
        <v>191222</v>
      </c>
      <c r="B436" s="51">
        <v>0.41666666666666669</v>
      </c>
      <c r="C436" s="5" t="s">
        <v>406</v>
      </c>
      <c r="D436" s="50" t="s">
        <v>416</v>
      </c>
      <c r="AA436" s="74" t="str">
        <f t="shared" si="215"/>
        <v>MEM/SAC</v>
      </c>
    </row>
    <row r="437" spans="1:27" x14ac:dyDescent="0.3">
      <c r="A437" s="50">
        <v>191222</v>
      </c>
      <c r="B437" s="51">
        <v>0.4375</v>
      </c>
      <c r="C437" s="15" t="s">
        <v>426</v>
      </c>
      <c r="D437" s="11" t="s">
        <v>415</v>
      </c>
      <c r="AA437" s="74" t="str">
        <f t="shared" si="215"/>
        <v>SAS/LAC</v>
      </c>
    </row>
    <row r="438" spans="1:27" x14ac:dyDescent="0.3">
      <c r="A438" s="50">
        <v>191222</v>
      </c>
      <c r="B438" s="51">
        <v>0.45833333333333331</v>
      </c>
      <c r="C438" s="50" t="s">
        <v>430</v>
      </c>
      <c r="D438" s="50" t="s">
        <v>403</v>
      </c>
      <c r="AA438" s="74" t="str">
        <f t="shared" si="215"/>
        <v>PHO/HOU</v>
      </c>
    </row>
    <row r="439" spans="1:27" x14ac:dyDescent="0.3">
      <c r="A439" s="50">
        <v>191222</v>
      </c>
      <c r="B439" s="51">
        <v>0.5</v>
      </c>
      <c r="C439" s="50" t="s">
        <v>417</v>
      </c>
      <c r="D439" s="50" t="s">
        <v>420</v>
      </c>
      <c r="AA439" s="74" t="str">
        <f t="shared" si="215"/>
        <v>POR/MIN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439"/>
  <sheetViews>
    <sheetView zoomScale="85" zoomScaleNormal="85" workbookViewId="0">
      <pane ySplit="1" topLeftCell="A406" activePane="bottomLeft" state="frozen"/>
      <selection pane="bottomLeft" activeCell="Z408" sqref="Z408:Z430"/>
    </sheetView>
  </sheetViews>
  <sheetFormatPr defaultRowHeight="16.5" x14ac:dyDescent="0.3"/>
  <cols>
    <col min="1" max="1" width="7.5" style="3" bestFit="1" customWidth="1"/>
    <col min="2" max="2" width="8.75" style="44" customWidth="1"/>
    <col min="3" max="3" width="6.375" style="3" bestFit="1" customWidth="1"/>
    <col min="4" max="4" width="5.75" style="3" bestFit="1" customWidth="1"/>
    <col min="5" max="8" width="4.75" style="3" bestFit="1" customWidth="1"/>
    <col min="9" max="9" width="4.375" style="3" bestFit="1" customWidth="1"/>
    <col min="10" max="13" width="4.625" style="3" bestFit="1" customWidth="1"/>
    <col min="14" max="14" width="4.625" style="3" customWidth="1"/>
    <col min="15" max="15" width="5" style="3" bestFit="1" customWidth="1"/>
    <col min="16" max="16" width="4.875" style="3" bestFit="1" customWidth="1"/>
    <col min="17" max="20" width="5.5" style="3" bestFit="1" customWidth="1"/>
    <col min="21" max="24" width="5.875" style="3" bestFit="1" customWidth="1"/>
    <col min="25" max="25" width="6.75" style="3" customWidth="1"/>
    <col min="26" max="26" width="8.25" style="3" customWidth="1"/>
    <col min="27" max="27" width="9" style="3"/>
    <col min="28" max="28" width="9.375" style="3" customWidth="1"/>
    <col min="29" max="29" width="4.875" style="3" customWidth="1"/>
    <col min="30" max="30" width="5" style="3" customWidth="1"/>
    <col min="31" max="31" width="5.75" style="3" customWidth="1"/>
    <col min="32" max="33" width="5.125" style="3" bestFit="1" customWidth="1"/>
    <col min="34" max="16384" width="9" style="3"/>
  </cols>
  <sheetData>
    <row r="1" spans="1:33" ht="17.100000000000001" x14ac:dyDescent="0.45">
      <c r="A1" s="3" t="s">
        <v>0</v>
      </c>
      <c r="B1" s="44" t="s">
        <v>55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24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C1" s="3">
        <f>SUBTOTAL(109,AC2:AC100)</f>
        <v>169</v>
      </c>
      <c r="AD1" s="3">
        <f>SUBTOTAL(109,AD2:AD100)</f>
        <v>221</v>
      </c>
      <c r="AF1" s="8">
        <f>AC1/(SUM($AC$1:$AD$1))</f>
        <v>0.43333333333333335</v>
      </c>
      <c r="AG1" s="9">
        <f>AD1/(SUM($AC$1:$AD$1))</f>
        <v>0.56666666666666665</v>
      </c>
    </row>
    <row r="2" spans="1:33" ht="17.100000000000001" x14ac:dyDescent="0.45">
      <c r="A2" s="3">
        <v>191023</v>
      </c>
      <c r="B2" s="44">
        <v>0.375</v>
      </c>
      <c r="C2" s="3" t="s">
        <v>28</v>
      </c>
      <c r="D2" s="3" t="s">
        <v>27</v>
      </c>
      <c r="E2" s="3">
        <v>27</v>
      </c>
      <c r="F2" s="3">
        <v>29</v>
      </c>
      <c r="G2" s="3">
        <v>32</v>
      </c>
      <c r="H2" s="3">
        <v>29</v>
      </c>
      <c r="I2" s="3">
        <v>13</v>
      </c>
      <c r="J2" s="3">
        <v>30</v>
      </c>
      <c r="K2" s="3">
        <v>31</v>
      </c>
      <c r="L2" s="3">
        <v>25</v>
      </c>
      <c r="M2" s="3">
        <v>31</v>
      </c>
      <c r="N2" s="3">
        <v>5</v>
      </c>
      <c r="O2" s="3">
        <f>SUM(E2:I2)</f>
        <v>130</v>
      </c>
      <c r="P2" s="3">
        <f>SUM(J2:N2)</f>
        <v>122</v>
      </c>
      <c r="Q2" s="3" t="str">
        <f>IF(E2=J2,"TT",IF(E2&gt;J2,"HW","HL"))</f>
        <v>HL</v>
      </c>
      <c r="R2" s="3" t="str">
        <f t="shared" ref="R2:T17" si="0">IF(F2=K2,"TT",IF(F2&gt;K2,"HW","HL"))</f>
        <v>HL</v>
      </c>
      <c r="S2" s="3" t="str">
        <f t="shared" si="0"/>
        <v>HW</v>
      </c>
      <c r="T2" s="3" t="str">
        <f t="shared" si="0"/>
        <v>HL</v>
      </c>
      <c r="U2" s="3" t="str">
        <f>IF(SUM(E2,J2)=$Z2,"T",IF(SUM(E2,J2)&gt;$Z2,"O","U"))</f>
        <v>U</v>
      </c>
      <c r="V2" s="3" t="str">
        <f t="shared" ref="V2:X17" si="1">IF(SUM(F2,K2)=$Z2,"T",IF(SUM(F2,K2)&gt;$Z2,"O","U"))</f>
        <v>O</v>
      </c>
      <c r="W2" s="3" t="str">
        <f t="shared" si="1"/>
        <v>U</v>
      </c>
      <c r="X2" s="3" t="str">
        <f t="shared" si="1"/>
        <v>O</v>
      </c>
      <c r="Z2" s="3">
        <v>59</v>
      </c>
      <c r="AB2" s="3" t="str">
        <f>C2&amp;"/"&amp;D2</f>
        <v>TOR/NO</v>
      </c>
      <c r="AC2" s="3">
        <f>COUNTIF(U2:X2,"o")</f>
        <v>2</v>
      </c>
      <c r="AD2" s="3">
        <f>COUNTIF(U2:X2,"u")</f>
        <v>2</v>
      </c>
    </row>
    <row r="3" spans="1:33" ht="17.100000000000001" x14ac:dyDescent="0.45">
      <c r="A3" s="3">
        <v>191023</v>
      </c>
      <c r="B3" s="44">
        <v>0.47916666666666669</v>
      </c>
      <c r="C3" s="3" t="s">
        <v>25</v>
      </c>
      <c r="D3" s="3" t="s">
        <v>26</v>
      </c>
      <c r="E3" s="3">
        <v>22</v>
      </c>
      <c r="F3" s="3">
        <v>40</v>
      </c>
      <c r="G3" s="3">
        <v>23</v>
      </c>
      <c r="H3" s="3">
        <v>27</v>
      </c>
      <c r="J3" s="3">
        <v>25</v>
      </c>
      <c r="K3" s="3">
        <v>29</v>
      </c>
      <c r="L3" s="3">
        <v>31</v>
      </c>
      <c r="M3" s="3">
        <v>17</v>
      </c>
      <c r="O3" s="3">
        <f t="shared" ref="O3:O6" si="2">SUM(E3:I3)</f>
        <v>112</v>
      </c>
      <c r="P3" s="3">
        <f t="shared" ref="P3:P36" si="3">SUM(J3:N3)</f>
        <v>102</v>
      </c>
      <c r="Q3" s="3" t="str">
        <f>IF(E3=J3,"TT",IF(E3&gt;J3,"HW","HL"))</f>
        <v>HL</v>
      </c>
      <c r="R3" s="3" t="str">
        <f t="shared" si="0"/>
        <v>HW</v>
      </c>
      <c r="S3" s="3" t="str">
        <f t="shared" si="0"/>
        <v>HL</v>
      </c>
      <c r="T3" s="3" t="str">
        <f t="shared" si="0"/>
        <v>HW</v>
      </c>
      <c r="U3" s="3" t="str">
        <f>IF(SUM(E3,J3)=$Z3,"T",IF(SUM(E3,J3)&gt;$Z3,"O","U"))</f>
        <v>U</v>
      </c>
      <c r="V3" s="3" t="str">
        <f t="shared" si="1"/>
        <v>O</v>
      </c>
      <c r="W3" s="3" t="str">
        <f t="shared" si="1"/>
        <v>U</v>
      </c>
      <c r="X3" s="3" t="str">
        <f t="shared" si="1"/>
        <v>U</v>
      </c>
      <c r="Z3" s="3">
        <v>57.5</v>
      </c>
      <c r="AB3" s="3" t="str">
        <f>C3&amp;"/"&amp;D3</f>
        <v>LAC/LAL</v>
      </c>
      <c r="AC3" s="3">
        <f t="shared" ref="AC3:AC41" si="4">COUNTIF(U3:X3,"o")</f>
        <v>1</v>
      </c>
      <c r="AD3" s="3">
        <f t="shared" ref="AD3:AD41" si="5">COUNTIF(U3:X3,"u")</f>
        <v>3</v>
      </c>
    </row>
    <row r="4" spans="1:33" ht="17.100000000000001" x14ac:dyDescent="0.45">
      <c r="A4" s="3">
        <v>191024</v>
      </c>
      <c r="B4" s="44">
        <v>0.33333333333333331</v>
      </c>
      <c r="C4" s="3" t="s">
        <v>30</v>
      </c>
      <c r="D4" s="3" t="s">
        <v>29</v>
      </c>
      <c r="E4" s="3">
        <v>22</v>
      </c>
      <c r="F4" s="3">
        <v>34</v>
      </c>
      <c r="G4" s="3">
        <v>37</v>
      </c>
      <c r="H4" s="3">
        <v>22</v>
      </c>
      <c r="I4" s="3">
        <v>11</v>
      </c>
      <c r="J4" s="3">
        <v>33</v>
      </c>
      <c r="K4" s="3">
        <v>35</v>
      </c>
      <c r="L4" s="3">
        <v>20</v>
      </c>
      <c r="M4" s="3">
        <v>27</v>
      </c>
      <c r="N4" s="3">
        <v>12</v>
      </c>
      <c r="O4" s="3">
        <f t="shared" si="2"/>
        <v>126</v>
      </c>
      <c r="P4" s="3">
        <f t="shared" si="3"/>
        <v>127</v>
      </c>
      <c r="Q4" s="3" t="str">
        <f t="shared" ref="Q4:T19" si="6">IF(E4=J4,"TT",IF(E4&gt;J4,"HW","HL"))</f>
        <v>HL</v>
      </c>
      <c r="R4" s="3" t="str">
        <f t="shared" si="0"/>
        <v>HL</v>
      </c>
      <c r="S4" s="3" t="str">
        <f t="shared" si="0"/>
        <v>HW</v>
      </c>
      <c r="T4" s="3" t="str">
        <f t="shared" si="0"/>
        <v>HL</v>
      </c>
      <c r="U4" s="3" t="str">
        <f t="shared" ref="U4:X19" si="7">IF(SUM(E4,J4)=$Z4,"T",IF(SUM(E4,J4)&gt;$Z4,"O","U"))</f>
        <v>U</v>
      </c>
      <c r="V4" s="3" t="str">
        <f t="shared" si="1"/>
        <v>O</v>
      </c>
      <c r="W4" s="3" t="str">
        <f t="shared" si="1"/>
        <v>U</v>
      </c>
      <c r="X4" s="3" t="str">
        <f t="shared" si="1"/>
        <v>U</v>
      </c>
      <c r="Z4" s="3">
        <v>58.5</v>
      </c>
      <c r="AB4" s="3" t="str">
        <f t="shared" ref="AB4:AB67" si="8">C4&amp;"/"&amp;D4</f>
        <v>BKN/MIN</v>
      </c>
      <c r="AC4" s="3">
        <f t="shared" si="4"/>
        <v>1</v>
      </c>
      <c r="AD4" s="3">
        <f t="shared" si="5"/>
        <v>3</v>
      </c>
    </row>
    <row r="5" spans="1:33" ht="17.100000000000001" x14ac:dyDescent="0.45">
      <c r="A5" s="3">
        <v>191024</v>
      </c>
      <c r="C5" s="3" t="s">
        <v>31</v>
      </c>
      <c r="D5" s="3" t="s">
        <v>32</v>
      </c>
      <c r="E5" s="3">
        <v>37</v>
      </c>
      <c r="F5" s="3">
        <v>26</v>
      </c>
      <c r="G5" s="3">
        <v>33</v>
      </c>
      <c r="H5" s="3">
        <v>30</v>
      </c>
      <c r="J5" s="3">
        <v>28</v>
      </c>
      <c r="K5" s="3">
        <v>27</v>
      </c>
      <c r="L5" s="3">
        <v>40</v>
      </c>
      <c r="M5" s="3">
        <v>30</v>
      </c>
      <c r="O5" s="3">
        <f t="shared" si="2"/>
        <v>126</v>
      </c>
      <c r="P5" s="3">
        <f t="shared" si="3"/>
        <v>125</v>
      </c>
      <c r="Q5" s="3" t="str">
        <f t="shared" si="6"/>
        <v>HW</v>
      </c>
      <c r="R5" s="3" t="str">
        <f t="shared" si="0"/>
        <v>HL</v>
      </c>
      <c r="S5" s="3" t="str">
        <f t="shared" si="0"/>
        <v>HL</v>
      </c>
      <c r="T5" s="3" t="str">
        <f t="shared" si="0"/>
        <v>TT</v>
      </c>
      <c r="U5" s="3" t="str">
        <f t="shared" si="7"/>
        <v>O</v>
      </c>
      <c r="V5" s="3" t="str">
        <f t="shared" si="1"/>
        <v>T</v>
      </c>
      <c r="W5" s="3" t="str">
        <f t="shared" si="1"/>
        <v>O</v>
      </c>
      <c r="X5" s="3" t="str">
        <f t="shared" si="1"/>
        <v>O</v>
      </c>
      <c r="Z5" s="3">
        <v>53</v>
      </c>
      <c r="AB5" s="3" t="str">
        <f t="shared" si="8"/>
        <v>CHA/CHI</v>
      </c>
      <c r="AC5" s="3">
        <f t="shared" si="4"/>
        <v>3</v>
      </c>
      <c r="AD5" s="3">
        <f t="shared" si="5"/>
        <v>0</v>
      </c>
    </row>
    <row r="6" spans="1:33" ht="17.100000000000001" x14ac:dyDescent="0.45">
      <c r="A6" s="3">
        <v>191024</v>
      </c>
      <c r="C6" s="3" t="s">
        <v>33</v>
      </c>
      <c r="D6" s="3" t="s">
        <v>34</v>
      </c>
      <c r="E6" s="3">
        <v>24</v>
      </c>
      <c r="F6" s="3">
        <v>38</v>
      </c>
      <c r="G6" s="3">
        <v>29</v>
      </c>
      <c r="H6" s="3">
        <v>17</v>
      </c>
      <c r="J6" s="3">
        <v>25</v>
      </c>
      <c r="K6" s="3">
        <v>23</v>
      </c>
      <c r="L6" s="3">
        <v>20</v>
      </c>
      <c r="M6" s="3">
        <v>32</v>
      </c>
      <c r="O6" s="3">
        <f t="shared" si="2"/>
        <v>108</v>
      </c>
      <c r="P6" s="3">
        <f t="shared" si="3"/>
        <v>100</v>
      </c>
      <c r="Q6" s="3" t="str">
        <f t="shared" si="6"/>
        <v>HL</v>
      </c>
      <c r="R6" s="3" t="str">
        <f t="shared" si="0"/>
        <v>HW</v>
      </c>
      <c r="S6" s="3" t="str">
        <f t="shared" si="0"/>
        <v>HW</v>
      </c>
      <c r="T6" s="3" t="str">
        <f t="shared" si="0"/>
        <v>HL</v>
      </c>
      <c r="U6" s="3" t="str">
        <f t="shared" si="7"/>
        <v>U</v>
      </c>
      <c r="V6" s="3" t="str">
        <f t="shared" si="1"/>
        <v>O</v>
      </c>
      <c r="W6" s="3" t="str">
        <f t="shared" si="1"/>
        <v>U</v>
      </c>
      <c r="X6" s="3" t="str">
        <f t="shared" si="1"/>
        <v>U</v>
      </c>
      <c r="Z6" s="3">
        <v>57.5</v>
      </c>
      <c r="AB6" s="3" t="str">
        <f t="shared" si="8"/>
        <v>DAL/WAS</v>
      </c>
      <c r="AC6" s="3">
        <f t="shared" si="4"/>
        <v>1</v>
      </c>
      <c r="AD6" s="3">
        <f t="shared" si="5"/>
        <v>3</v>
      </c>
    </row>
    <row r="7" spans="1:33" ht="17.100000000000001" x14ac:dyDescent="0.45">
      <c r="A7" s="3">
        <v>191024</v>
      </c>
      <c r="B7" s="44">
        <v>0.33333333333333331</v>
      </c>
      <c r="C7" s="3" t="s">
        <v>35</v>
      </c>
      <c r="D7" s="3" t="s">
        <v>36</v>
      </c>
      <c r="E7" s="3">
        <v>24</v>
      </c>
      <c r="F7" s="3">
        <v>31</v>
      </c>
      <c r="G7" s="3">
        <v>31</v>
      </c>
      <c r="H7" s="3">
        <v>24</v>
      </c>
      <c r="J7" s="3">
        <v>27</v>
      </c>
      <c r="K7" s="3">
        <v>27</v>
      </c>
      <c r="L7" s="3">
        <v>29</v>
      </c>
      <c r="M7" s="3">
        <v>36</v>
      </c>
      <c r="O7" s="3">
        <f t="shared" ref="O7:O14" si="9">SUM(E7:I7)</f>
        <v>110</v>
      </c>
      <c r="P7" s="3">
        <f t="shared" si="3"/>
        <v>119</v>
      </c>
      <c r="Q7" s="3" t="str">
        <f t="shared" si="6"/>
        <v>HL</v>
      </c>
      <c r="R7" s="3" t="str">
        <f t="shared" si="0"/>
        <v>HW</v>
      </c>
      <c r="S7" s="3" t="str">
        <f t="shared" si="0"/>
        <v>HW</v>
      </c>
      <c r="T7" s="3" t="str">
        <f t="shared" si="0"/>
        <v>HL</v>
      </c>
      <c r="U7" s="3" t="str">
        <f t="shared" si="7"/>
        <v>U</v>
      </c>
      <c r="V7" s="3" t="str">
        <f t="shared" si="1"/>
        <v>O</v>
      </c>
      <c r="W7" s="3" t="str">
        <f t="shared" si="1"/>
        <v>O</v>
      </c>
      <c r="X7" s="3" t="str">
        <f t="shared" si="1"/>
        <v>O</v>
      </c>
      <c r="Z7" s="3">
        <v>54</v>
      </c>
      <c r="AB7" s="3" t="str">
        <f t="shared" si="8"/>
        <v>IND/DET</v>
      </c>
      <c r="AC7" s="3">
        <f t="shared" si="4"/>
        <v>3</v>
      </c>
      <c r="AD7" s="3">
        <f t="shared" si="5"/>
        <v>1</v>
      </c>
    </row>
    <row r="8" spans="1:33" ht="17.100000000000001" x14ac:dyDescent="0.45">
      <c r="A8" s="3">
        <v>191024</v>
      </c>
      <c r="C8" s="3" t="s">
        <v>37</v>
      </c>
      <c r="D8" s="3" t="s">
        <v>38</v>
      </c>
      <c r="E8" s="3">
        <v>24</v>
      </c>
      <c r="F8" s="3">
        <v>30</v>
      </c>
      <c r="G8" s="3">
        <v>29</v>
      </c>
      <c r="H8" s="3">
        <v>37</v>
      </c>
      <c r="J8" s="3">
        <v>32</v>
      </c>
      <c r="K8" s="3">
        <v>28</v>
      </c>
      <c r="L8" s="3">
        <v>24</v>
      </c>
      <c r="M8" s="3">
        <v>17</v>
      </c>
      <c r="O8" s="3">
        <f t="shared" si="9"/>
        <v>120</v>
      </c>
      <c r="P8" s="3">
        <f t="shared" si="3"/>
        <v>101</v>
      </c>
      <c r="Q8" s="3" t="str">
        <f t="shared" si="6"/>
        <v>HL</v>
      </c>
      <c r="R8" s="3" t="str">
        <f t="shared" si="0"/>
        <v>HW</v>
      </c>
      <c r="S8" s="3" t="str">
        <f t="shared" si="0"/>
        <v>HW</v>
      </c>
      <c r="T8" s="3" t="str">
        <f t="shared" si="0"/>
        <v>HW</v>
      </c>
      <c r="U8" s="3" t="str">
        <f t="shared" si="7"/>
        <v>O</v>
      </c>
      <c r="V8" s="3" t="str">
        <f t="shared" si="1"/>
        <v>O</v>
      </c>
      <c r="W8" s="3" t="str">
        <f t="shared" si="1"/>
        <v>U</v>
      </c>
      <c r="X8" s="3" t="str">
        <f t="shared" si="1"/>
        <v>U</v>
      </c>
      <c r="Z8" s="3">
        <v>54.5</v>
      </c>
      <c r="AB8" s="3" t="str">
        <f t="shared" si="8"/>
        <v>MIA/MEM</v>
      </c>
      <c r="AC8" s="3">
        <f t="shared" si="4"/>
        <v>2</v>
      </c>
      <c r="AD8" s="3">
        <f t="shared" si="5"/>
        <v>2</v>
      </c>
    </row>
    <row r="9" spans="1:33" ht="17.100000000000001" x14ac:dyDescent="0.45">
      <c r="A9" s="3">
        <v>191024</v>
      </c>
      <c r="C9" s="3" t="s">
        <v>39</v>
      </c>
      <c r="D9" s="3" t="s">
        <v>40</v>
      </c>
      <c r="E9" s="3">
        <v>28</v>
      </c>
      <c r="F9" s="3">
        <v>27</v>
      </c>
      <c r="G9" s="3">
        <v>16</v>
      </c>
      <c r="H9" s="3">
        <v>23</v>
      </c>
      <c r="J9" s="3">
        <v>24</v>
      </c>
      <c r="K9" s="3">
        <v>17</v>
      </c>
      <c r="L9" s="3">
        <v>24</v>
      </c>
      <c r="M9" s="3">
        <v>20</v>
      </c>
      <c r="O9" s="3">
        <f t="shared" si="9"/>
        <v>94</v>
      </c>
      <c r="P9" s="3">
        <f t="shared" si="3"/>
        <v>85</v>
      </c>
      <c r="Q9" s="3" t="str">
        <f t="shared" si="6"/>
        <v>HW</v>
      </c>
      <c r="R9" s="3" t="str">
        <f t="shared" si="0"/>
        <v>HW</v>
      </c>
      <c r="S9" s="3" t="str">
        <f t="shared" si="0"/>
        <v>HL</v>
      </c>
      <c r="T9" s="3" t="str">
        <f t="shared" si="0"/>
        <v>HW</v>
      </c>
      <c r="U9" s="3" t="str">
        <f t="shared" si="7"/>
        <v>U</v>
      </c>
      <c r="V9" s="3" t="str">
        <f t="shared" si="1"/>
        <v>U</v>
      </c>
      <c r="W9" s="3" t="str">
        <f t="shared" si="1"/>
        <v>U</v>
      </c>
      <c r="X9" s="3" t="str">
        <f t="shared" si="1"/>
        <v>U</v>
      </c>
      <c r="Z9" s="3">
        <v>53</v>
      </c>
      <c r="AB9" s="3" t="str">
        <f t="shared" si="8"/>
        <v>ORL/CLE</v>
      </c>
      <c r="AC9" s="3">
        <f t="shared" si="4"/>
        <v>0</v>
      </c>
      <c r="AD9" s="3">
        <f t="shared" si="5"/>
        <v>4</v>
      </c>
    </row>
    <row r="10" spans="1:33" ht="17.100000000000001" x14ac:dyDescent="0.45">
      <c r="A10" s="3">
        <v>191024</v>
      </c>
      <c r="C10" s="3" t="s">
        <v>41</v>
      </c>
      <c r="D10" s="3" t="s">
        <v>42</v>
      </c>
      <c r="E10" s="3">
        <v>20</v>
      </c>
      <c r="F10" s="3">
        <v>29</v>
      </c>
      <c r="G10" s="3">
        <v>28</v>
      </c>
      <c r="H10" s="3">
        <v>30</v>
      </c>
      <c r="J10" s="3">
        <v>25</v>
      </c>
      <c r="K10" s="3">
        <v>23</v>
      </c>
      <c r="L10" s="3">
        <v>20</v>
      </c>
      <c r="M10" s="3">
        <v>25</v>
      </c>
      <c r="O10" s="3">
        <f t="shared" si="9"/>
        <v>107</v>
      </c>
      <c r="P10" s="3">
        <f t="shared" si="3"/>
        <v>93</v>
      </c>
      <c r="Q10" s="3" t="str">
        <f t="shared" si="6"/>
        <v>HL</v>
      </c>
      <c r="R10" s="3" t="str">
        <f t="shared" si="0"/>
        <v>HW</v>
      </c>
      <c r="S10" s="3" t="str">
        <f t="shared" si="0"/>
        <v>HW</v>
      </c>
      <c r="T10" s="3" t="str">
        <f t="shared" si="0"/>
        <v>HW</v>
      </c>
      <c r="U10" s="3" t="str">
        <f t="shared" si="7"/>
        <v>U</v>
      </c>
      <c r="V10" s="3" t="str">
        <f t="shared" si="1"/>
        <v>T</v>
      </c>
      <c r="W10" s="3" t="str">
        <f t="shared" si="1"/>
        <v>U</v>
      </c>
      <c r="X10" s="3" t="str">
        <f t="shared" si="1"/>
        <v>O</v>
      </c>
      <c r="Z10" s="3">
        <v>52</v>
      </c>
      <c r="AB10" s="3" t="str">
        <f t="shared" si="8"/>
        <v>PHI/BOS</v>
      </c>
      <c r="AC10" s="3">
        <f t="shared" si="4"/>
        <v>1</v>
      </c>
      <c r="AD10" s="3">
        <f t="shared" si="5"/>
        <v>2</v>
      </c>
    </row>
    <row r="11" spans="1:33" ht="17.100000000000001" x14ac:dyDescent="0.45">
      <c r="A11" s="3">
        <v>191024</v>
      </c>
      <c r="C11" s="3" t="s">
        <v>43</v>
      </c>
      <c r="D11" s="3" t="s">
        <v>44</v>
      </c>
      <c r="E11" s="3">
        <v>25</v>
      </c>
      <c r="F11" s="3">
        <v>29</v>
      </c>
      <c r="G11" s="3">
        <v>32</v>
      </c>
      <c r="H11" s="3">
        <v>38</v>
      </c>
      <c r="J11" s="3">
        <v>29</v>
      </c>
      <c r="K11" s="3">
        <v>30</v>
      </c>
      <c r="L11" s="3">
        <v>17</v>
      </c>
      <c r="M11" s="3">
        <v>19</v>
      </c>
      <c r="O11" s="3">
        <f t="shared" si="9"/>
        <v>124</v>
      </c>
      <c r="P11" s="3">
        <f t="shared" si="3"/>
        <v>95</v>
      </c>
      <c r="Q11" s="3" t="str">
        <f t="shared" si="6"/>
        <v>HL</v>
      </c>
      <c r="R11" s="3" t="str">
        <f t="shared" si="0"/>
        <v>HL</v>
      </c>
      <c r="S11" s="3" t="str">
        <f t="shared" si="0"/>
        <v>HW</v>
      </c>
      <c r="T11" s="3" t="str">
        <f t="shared" si="0"/>
        <v>HW</v>
      </c>
      <c r="U11" s="3" t="str">
        <f t="shared" si="7"/>
        <v>U</v>
      </c>
      <c r="V11" s="3" t="str">
        <f t="shared" si="1"/>
        <v>U</v>
      </c>
      <c r="W11" s="3" t="str">
        <f t="shared" si="1"/>
        <v>U</v>
      </c>
      <c r="X11" s="3" t="str">
        <f t="shared" si="1"/>
        <v>U</v>
      </c>
      <c r="Z11" s="3">
        <v>59.5</v>
      </c>
      <c r="AB11" s="3" t="str">
        <f t="shared" si="8"/>
        <v>PHO/SAC</v>
      </c>
      <c r="AC11" s="3">
        <f t="shared" si="4"/>
        <v>0</v>
      </c>
      <c r="AD11" s="3">
        <f t="shared" si="5"/>
        <v>4</v>
      </c>
    </row>
    <row r="12" spans="1:33" ht="17.100000000000001" x14ac:dyDescent="0.45">
      <c r="A12" s="3">
        <v>191024</v>
      </c>
      <c r="C12" s="3" t="s">
        <v>45</v>
      </c>
      <c r="D12" s="3" t="s">
        <v>46</v>
      </c>
      <c r="E12" s="3">
        <v>27</v>
      </c>
      <c r="F12" s="3">
        <v>23</v>
      </c>
      <c r="G12" s="3">
        <v>24</v>
      </c>
      <c r="H12" s="3">
        <v>26</v>
      </c>
      <c r="J12" s="3">
        <v>24</v>
      </c>
      <c r="K12" s="3">
        <v>30</v>
      </c>
      <c r="L12" s="3">
        <v>19</v>
      </c>
      <c r="M12" s="3">
        <v>35</v>
      </c>
      <c r="O12" s="3">
        <f t="shared" si="9"/>
        <v>100</v>
      </c>
      <c r="P12" s="3">
        <f t="shared" si="3"/>
        <v>108</v>
      </c>
      <c r="Q12" s="3" t="str">
        <f t="shared" si="6"/>
        <v>HW</v>
      </c>
      <c r="R12" s="3" t="str">
        <f t="shared" si="0"/>
        <v>HL</v>
      </c>
      <c r="S12" s="3" t="str">
        <f t="shared" si="0"/>
        <v>HW</v>
      </c>
      <c r="T12" s="3" t="str">
        <f t="shared" si="0"/>
        <v>HL</v>
      </c>
      <c r="U12" s="3" t="str">
        <f t="shared" si="7"/>
        <v>U</v>
      </c>
      <c r="V12" s="3" t="str">
        <f t="shared" si="1"/>
        <v>U</v>
      </c>
      <c r="W12" s="3" t="str">
        <f t="shared" si="1"/>
        <v>U</v>
      </c>
      <c r="X12" s="3" t="str">
        <f t="shared" si="1"/>
        <v>O</v>
      </c>
      <c r="Z12" s="3">
        <v>56.5</v>
      </c>
      <c r="AB12" s="3" t="str">
        <f t="shared" si="8"/>
        <v>POR/DEN</v>
      </c>
      <c r="AC12" s="3">
        <f t="shared" si="4"/>
        <v>1</v>
      </c>
      <c r="AD12" s="3">
        <f t="shared" si="5"/>
        <v>3</v>
      </c>
    </row>
    <row r="13" spans="1:33" ht="17.100000000000001" x14ac:dyDescent="0.45">
      <c r="A13" s="3">
        <v>191024</v>
      </c>
      <c r="C13" s="3" t="s">
        <v>56</v>
      </c>
      <c r="D13" s="3" t="s">
        <v>47</v>
      </c>
      <c r="E13" s="3">
        <v>22</v>
      </c>
      <c r="F13" s="3">
        <v>37</v>
      </c>
      <c r="G13" s="3">
        <v>24</v>
      </c>
      <c r="H13" s="3">
        <v>37</v>
      </c>
      <c r="J13" s="3">
        <v>15</v>
      </c>
      <c r="K13" s="3">
        <v>36</v>
      </c>
      <c r="L13" s="3">
        <v>33</v>
      </c>
      <c r="M13" s="3">
        <v>27</v>
      </c>
      <c r="O13" s="3">
        <f t="shared" si="9"/>
        <v>120</v>
      </c>
      <c r="P13" s="3">
        <f t="shared" si="3"/>
        <v>111</v>
      </c>
      <c r="Q13" s="3" t="str">
        <f t="shared" si="6"/>
        <v>HW</v>
      </c>
      <c r="R13" s="3" t="str">
        <f t="shared" si="0"/>
        <v>HW</v>
      </c>
      <c r="S13" s="3" t="str">
        <f t="shared" si="0"/>
        <v>HL</v>
      </c>
      <c r="T13" s="3" t="str">
        <f t="shared" si="0"/>
        <v>HW</v>
      </c>
      <c r="U13" s="3" t="str">
        <f t="shared" si="7"/>
        <v>U</v>
      </c>
      <c r="V13" s="3" t="str">
        <f t="shared" si="1"/>
        <v>O</v>
      </c>
      <c r="W13" s="3" t="str">
        <f t="shared" si="1"/>
        <v>O</v>
      </c>
      <c r="X13" s="3" t="str">
        <f t="shared" si="1"/>
        <v>O</v>
      </c>
      <c r="Z13" s="3">
        <v>55.5</v>
      </c>
      <c r="AB13" s="3" t="str">
        <f t="shared" si="8"/>
        <v>SAS/NYK</v>
      </c>
      <c r="AC13" s="3">
        <f t="shared" si="4"/>
        <v>3</v>
      </c>
      <c r="AD13" s="3">
        <f t="shared" si="5"/>
        <v>1</v>
      </c>
    </row>
    <row r="14" spans="1:33" ht="17.100000000000001" x14ac:dyDescent="0.45">
      <c r="A14" s="3">
        <v>191024</v>
      </c>
      <c r="C14" s="3" t="s">
        <v>48</v>
      </c>
      <c r="D14" s="3" t="s">
        <v>49</v>
      </c>
      <c r="E14" s="3">
        <v>23</v>
      </c>
      <c r="F14" s="3">
        <v>26</v>
      </c>
      <c r="G14" s="3">
        <v>19</v>
      </c>
      <c r="H14" s="3">
        <v>32</v>
      </c>
      <c r="J14" s="3">
        <v>12</v>
      </c>
      <c r="K14" s="3">
        <v>34</v>
      </c>
      <c r="L14" s="3">
        <v>28</v>
      </c>
      <c r="M14" s="3">
        <v>21</v>
      </c>
      <c r="O14" s="3">
        <f t="shared" si="9"/>
        <v>100</v>
      </c>
      <c r="P14" s="3">
        <f t="shared" si="3"/>
        <v>95</v>
      </c>
      <c r="Q14" s="3" t="str">
        <f t="shared" si="6"/>
        <v>HW</v>
      </c>
      <c r="R14" s="3" t="str">
        <f t="shared" si="0"/>
        <v>HL</v>
      </c>
      <c r="S14" s="3" t="str">
        <f t="shared" si="0"/>
        <v>HL</v>
      </c>
      <c r="T14" s="3" t="str">
        <f t="shared" si="0"/>
        <v>HW</v>
      </c>
      <c r="U14" s="3" t="str">
        <f t="shared" si="7"/>
        <v>U</v>
      </c>
      <c r="V14" s="3" t="str">
        <f t="shared" si="1"/>
        <v>O</v>
      </c>
      <c r="W14" s="3" t="str">
        <f t="shared" si="1"/>
        <v>U</v>
      </c>
      <c r="X14" s="3" t="str">
        <f t="shared" si="1"/>
        <v>U</v>
      </c>
      <c r="Z14" s="3">
        <v>57.5</v>
      </c>
      <c r="AB14" s="3" t="str">
        <f t="shared" si="8"/>
        <v>UTA/OKC</v>
      </c>
      <c r="AC14" s="3">
        <f t="shared" si="4"/>
        <v>1</v>
      </c>
      <c r="AD14" s="3">
        <f t="shared" si="5"/>
        <v>3</v>
      </c>
    </row>
    <row r="15" spans="1:33" ht="17.100000000000001" x14ac:dyDescent="0.45">
      <c r="A15" s="3">
        <v>191025</v>
      </c>
      <c r="B15" s="44">
        <v>0.33333333333333331</v>
      </c>
      <c r="C15" s="3" t="s">
        <v>36</v>
      </c>
      <c r="D15" s="3" t="s">
        <v>50</v>
      </c>
      <c r="E15" s="3">
        <v>32</v>
      </c>
      <c r="F15" s="3">
        <v>31</v>
      </c>
      <c r="G15" s="3">
        <v>18</v>
      </c>
      <c r="H15" s="3">
        <v>19</v>
      </c>
      <c r="J15" s="3">
        <v>38</v>
      </c>
      <c r="K15" s="3">
        <v>22</v>
      </c>
      <c r="L15" s="3">
        <v>31</v>
      </c>
      <c r="M15" s="3">
        <v>26</v>
      </c>
      <c r="O15" s="3">
        <f t="shared" ref="O15:O36" si="10">SUM(E15:I15)</f>
        <v>100</v>
      </c>
      <c r="P15" s="3">
        <f t="shared" si="3"/>
        <v>117</v>
      </c>
      <c r="Q15" s="3" t="str">
        <f t="shared" si="6"/>
        <v>HL</v>
      </c>
      <c r="R15" s="3" t="str">
        <f t="shared" si="0"/>
        <v>HW</v>
      </c>
      <c r="S15" s="3" t="str">
        <f t="shared" si="0"/>
        <v>HL</v>
      </c>
      <c r="T15" s="3" t="str">
        <f t="shared" si="0"/>
        <v>HL</v>
      </c>
      <c r="U15" s="3" t="str">
        <f t="shared" si="7"/>
        <v>O</v>
      </c>
      <c r="V15" s="3" t="str">
        <f t="shared" si="1"/>
        <v>U</v>
      </c>
      <c r="W15" s="3" t="str">
        <f t="shared" si="1"/>
        <v>U</v>
      </c>
      <c r="X15" s="3" t="str">
        <f t="shared" si="1"/>
        <v>U</v>
      </c>
      <c r="Z15" s="3">
        <v>57</v>
      </c>
      <c r="AB15" s="3" t="str">
        <f t="shared" si="8"/>
        <v>DET/ATL</v>
      </c>
      <c r="AC15" s="3">
        <f t="shared" si="4"/>
        <v>1</v>
      </c>
      <c r="AD15" s="3">
        <f t="shared" si="5"/>
        <v>3</v>
      </c>
    </row>
    <row r="16" spans="1:33" ht="17.100000000000001" x14ac:dyDescent="0.45">
      <c r="A16" s="3">
        <v>191025</v>
      </c>
      <c r="B16" s="44">
        <v>0.47916666666666669</v>
      </c>
      <c r="C16" s="3" t="s">
        <v>51</v>
      </c>
      <c r="D16" s="3" t="s">
        <v>25</v>
      </c>
      <c r="E16" s="3">
        <v>29</v>
      </c>
      <c r="F16" s="3">
        <v>25</v>
      </c>
      <c r="G16" s="3">
        <v>33</v>
      </c>
      <c r="H16" s="3">
        <v>35</v>
      </c>
      <c r="J16" s="3">
        <v>35</v>
      </c>
      <c r="K16" s="3">
        <v>30</v>
      </c>
      <c r="L16" s="3">
        <v>46</v>
      </c>
      <c r="M16" s="3">
        <v>30</v>
      </c>
      <c r="O16" s="3">
        <f t="shared" si="10"/>
        <v>122</v>
      </c>
      <c r="P16" s="3">
        <f t="shared" si="3"/>
        <v>141</v>
      </c>
      <c r="Q16" s="3" t="str">
        <f t="shared" si="6"/>
        <v>HL</v>
      </c>
      <c r="R16" s="3" t="str">
        <f t="shared" si="0"/>
        <v>HL</v>
      </c>
      <c r="S16" s="3" t="str">
        <f t="shared" si="0"/>
        <v>HL</v>
      </c>
      <c r="T16" s="3" t="str">
        <f t="shared" si="0"/>
        <v>HW</v>
      </c>
      <c r="U16" s="3" t="str">
        <f t="shared" si="7"/>
        <v>O</v>
      </c>
      <c r="V16" s="3" t="str">
        <f t="shared" si="1"/>
        <v>U</v>
      </c>
      <c r="W16" s="3" t="str">
        <f t="shared" si="1"/>
        <v>O</v>
      </c>
      <c r="X16" s="3" t="str">
        <f t="shared" si="1"/>
        <v>O</v>
      </c>
      <c r="Z16" s="3">
        <v>59.5</v>
      </c>
      <c r="AB16" s="3" t="str">
        <f t="shared" si="8"/>
        <v>GS/LAC</v>
      </c>
      <c r="AC16" s="3">
        <f t="shared" si="4"/>
        <v>3</v>
      </c>
      <c r="AD16" s="3">
        <f t="shared" si="5"/>
        <v>1</v>
      </c>
    </row>
    <row r="17" spans="1:30" ht="17.100000000000001" x14ac:dyDescent="0.45">
      <c r="A17" s="3">
        <v>191025</v>
      </c>
      <c r="B17" s="44">
        <v>0.375</v>
      </c>
      <c r="C17" s="3" t="s">
        <v>52</v>
      </c>
      <c r="D17" s="3" t="s">
        <v>53</v>
      </c>
      <c r="E17" s="3">
        <v>30</v>
      </c>
      <c r="F17" s="3">
        <v>36</v>
      </c>
      <c r="G17" s="3">
        <v>21</v>
      </c>
      <c r="H17" s="3">
        <v>24</v>
      </c>
      <c r="J17" s="3">
        <v>23</v>
      </c>
      <c r="K17" s="3">
        <v>27</v>
      </c>
      <c r="L17" s="3">
        <v>28</v>
      </c>
      <c r="M17" s="3">
        <v>39</v>
      </c>
      <c r="O17" s="3">
        <f t="shared" si="10"/>
        <v>111</v>
      </c>
      <c r="P17" s="3">
        <f t="shared" si="3"/>
        <v>117</v>
      </c>
      <c r="Q17" s="3" t="str">
        <f t="shared" si="6"/>
        <v>HW</v>
      </c>
      <c r="R17" s="3" t="str">
        <f t="shared" si="0"/>
        <v>HW</v>
      </c>
      <c r="S17" s="3" t="str">
        <f t="shared" si="0"/>
        <v>HL</v>
      </c>
      <c r="T17" s="3" t="str">
        <f t="shared" si="0"/>
        <v>HL</v>
      </c>
      <c r="U17" s="3" t="str">
        <f t="shared" si="7"/>
        <v>U</v>
      </c>
      <c r="V17" s="3" t="str">
        <f t="shared" si="1"/>
        <v>O</v>
      </c>
      <c r="W17" s="3" t="str">
        <f t="shared" si="1"/>
        <v>U</v>
      </c>
      <c r="X17" s="3" t="str">
        <f t="shared" si="1"/>
        <v>O</v>
      </c>
      <c r="Z17" s="3">
        <v>57</v>
      </c>
      <c r="AB17" s="3" t="str">
        <f t="shared" si="8"/>
        <v>HOU/MIL</v>
      </c>
      <c r="AC17" s="3">
        <f t="shared" si="4"/>
        <v>2</v>
      </c>
      <c r="AD17" s="3">
        <f t="shared" si="5"/>
        <v>2</v>
      </c>
    </row>
    <row r="18" spans="1:30" ht="17.100000000000001" x14ac:dyDescent="0.45">
      <c r="A18" s="3">
        <v>191026</v>
      </c>
      <c r="B18" s="44">
        <v>0.33333333333333331</v>
      </c>
      <c r="C18" s="3" t="s">
        <v>42</v>
      </c>
      <c r="D18" s="3" t="s">
        <v>28</v>
      </c>
      <c r="E18" s="3">
        <v>22</v>
      </c>
      <c r="F18" s="3">
        <v>28</v>
      </c>
      <c r="G18" s="3">
        <v>26</v>
      </c>
      <c r="H18" s="3">
        <v>36</v>
      </c>
      <c r="J18" s="3">
        <v>21</v>
      </c>
      <c r="K18" s="3">
        <v>28</v>
      </c>
      <c r="L18" s="3">
        <v>33</v>
      </c>
      <c r="M18" s="3">
        <v>24</v>
      </c>
      <c r="O18" s="3">
        <f t="shared" si="10"/>
        <v>112</v>
      </c>
      <c r="P18" s="3">
        <f t="shared" si="3"/>
        <v>106</v>
      </c>
      <c r="Q18" s="3" t="str">
        <f t="shared" si="6"/>
        <v>HW</v>
      </c>
      <c r="R18" s="3" t="str">
        <f t="shared" si="6"/>
        <v>TT</v>
      </c>
      <c r="S18" s="3" t="str">
        <f t="shared" si="6"/>
        <v>HL</v>
      </c>
      <c r="T18" s="3" t="str">
        <f t="shared" si="6"/>
        <v>HW</v>
      </c>
      <c r="U18" s="3" t="str">
        <f t="shared" si="7"/>
        <v>U</v>
      </c>
      <c r="V18" s="3" t="str">
        <f t="shared" si="7"/>
        <v>O</v>
      </c>
      <c r="W18" s="3" t="str">
        <f t="shared" si="7"/>
        <v>O</v>
      </c>
      <c r="X18" s="3" t="str">
        <f t="shared" si="7"/>
        <v>O</v>
      </c>
      <c r="Z18" s="3">
        <v>55.5</v>
      </c>
      <c r="AB18" s="3" t="str">
        <f t="shared" si="8"/>
        <v>BOS/TOR</v>
      </c>
      <c r="AC18" s="3">
        <f t="shared" si="4"/>
        <v>3</v>
      </c>
      <c r="AD18" s="3">
        <f t="shared" si="5"/>
        <v>1</v>
      </c>
    </row>
    <row r="19" spans="1:30" ht="17.100000000000001" x14ac:dyDescent="0.45">
      <c r="A19" s="3">
        <v>191026</v>
      </c>
      <c r="B19" s="44">
        <v>0.35416666666666669</v>
      </c>
      <c r="C19" s="3" t="s">
        <v>54</v>
      </c>
      <c r="D19" s="3" t="s">
        <v>30</v>
      </c>
      <c r="E19" s="3">
        <v>32</v>
      </c>
      <c r="F19" s="3">
        <v>32</v>
      </c>
      <c r="G19" s="3">
        <v>30</v>
      </c>
      <c r="H19" s="3">
        <v>19</v>
      </c>
      <c r="J19" s="3">
        <v>23</v>
      </c>
      <c r="K19" s="3">
        <v>28</v>
      </c>
      <c r="L19" s="3">
        <v>32</v>
      </c>
      <c r="M19" s="3">
        <v>26</v>
      </c>
      <c r="O19" s="3">
        <f t="shared" si="10"/>
        <v>113</v>
      </c>
      <c r="P19" s="3">
        <f t="shared" si="3"/>
        <v>109</v>
      </c>
      <c r="Q19" s="3" t="str">
        <f t="shared" si="6"/>
        <v>HW</v>
      </c>
      <c r="R19" s="3" t="str">
        <f t="shared" si="6"/>
        <v>HW</v>
      </c>
      <c r="S19" s="3" t="str">
        <f t="shared" si="6"/>
        <v>HL</v>
      </c>
      <c r="T19" s="3" t="str">
        <f t="shared" si="6"/>
        <v>HL</v>
      </c>
      <c r="U19" s="3" t="str">
        <f t="shared" si="7"/>
        <v>U</v>
      </c>
      <c r="V19" s="3" t="str">
        <f t="shared" si="7"/>
        <v>O</v>
      </c>
      <c r="W19" s="3" t="str">
        <f t="shared" si="7"/>
        <v>O</v>
      </c>
      <c r="X19" s="3" t="str">
        <f t="shared" si="7"/>
        <v>U</v>
      </c>
      <c r="Z19" s="3">
        <v>58.5</v>
      </c>
      <c r="AB19" s="3" t="str">
        <f t="shared" si="8"/>
        <v>NY/BKN</v>
      </c>
      <c r="AC19" s="3">
        <f t="shared" si="4"/>
        <v>2</v>
      </c>
      <c r="AD19" s="3">
        <f t="shared" si="5"/>
        <v>2</v>
      </c>
    </row>
    <row r="20" spans="1:30" ht="17.100000000000001" x14ac:dyDescent="0.45">
      <c r="A20" s="3">
        <v>191026</v>
      </c>
      <c r="B20" s="44">
        <v>0.33333333333333331</v>
      </c>
      <c r="C20" s="3" t="s">
        <v>31</v>
      </c>
      <c r="D20" s="3" t="s">
        <v>29</v>
      </c>
      <c r="E20" s="3">
        <v>32</v>
      </c>
      <c r="F20" s="3">
        <v>24</v>
      </c>
      <c r="G20" s="3">
        <v>25</v>
      </c>
      <c r="H20" s="3">
        <v>18</v>
      </c>
      <c r="J20" s="3">
        <v>30</v>
      </c>
      <c r="K20" s="3">
        <v>28</v>
      </c>
      <c r="L20" s="3">
        <v>45</v>
      </c>
      <c r="M20" s="3">
        <v>18</v>
      </c>
      <c r="O20" s="3">
        <f t="shared" si="10"/>
        <v>99</v>
      </c>
      <c r="P20" s="3">
        <f t="shared" si="3"/>
        <v>121</v>
      </c>
      <c r="Q20" s="3" t="str">
        <f t="shared" ref="Q20:T35" si="11">IF(E20=J20,"TT",IF(E20&gt;J20,"HW","HL"))</f>
        <v>HW</v>
      </c>
      <c r="R20" s="3" t="str">
        <f t="shared" si="11"/>
        <v>HL</v>
      </c>
      <c r="S20" s="3" t="str">
        <f t="shared" si="11"/>
        <v>HL</v>
      </c>
      <c r="T20" s="3" t="str">
        <f t="shared" si="11"/>
        <v>TT</v>
      </c>
      <c r="U20" s="3" t="str">
        <f t="shared" ref="U20:X35" si="12">IF(SUM(E20,J20)=$Z20,"T",IF(SUM(E20,J20)&gt;$Z20,"O","U"))</f>
        <v>O</v>
      </c>
      <c r="V20" s="3" t="str">
        <f t="shared" si="12"/>
        <v>U</v>
      </c>
      <c r="W20" s="3" t="str">
        <f t="shared" si="12"/>
        <v>O</v>
      </c>
      <c r="X20" s="3" t="str">
        <f t="shared" si="12"/>
        <v>U</v>
      </c>
      <c r="Z20" s="3">
        <v>58.5</v>
      </c>
      <c r="AB20" s="3" t="str">
        <f t="shared" si="8"/>
        <v>CHA/MIN</v>
      </c>
      <c r="AC20" s="3">
        <f t="shared" si="4"/>
        <v>2</v>
      </c>
      <c r="AD20" s="3">
        <f t="shared" si="5"/>
        <v>2</v>
      </c>
    </row>
    <row r="21" spans="1:30" ht="17.100000000000001" x14ac:dyDescent="0.45">
      <c r="A21" s="3">
        <v>191026</v>
      </c>
      <c r="B21" s="44">
        <v>0.41666666666666669</v>
      </c>
      <c r="C21" s="3" t="s">
        <v>46</v>
      </c>
      <c r="D21" s="3" t="s">
        <v>43</v>
      </c>
      <c r="E21" s="3">
        <v>15</v>
      </c>
      <c r="F21" s="3">
        <v>24</v>
      </c>
      <c r="G21" s="3">
        <v>25</v>
      </c>
      <c r="H21" s="3">
        <v>31</v>
      </c>
      <c r="I21" s="3">
        <v>13</v>
      </c>
      <c r="J21" s="3">
        <v>21</v>
      </c>
      <c r="K21" s="3">
        <v>24</v>
      </c>
      <c r="L21" s="3">
        <v>17</v>
      </c>
      <c r="M21" s="3">
        <v>33</v>
      </c>
      <c r="N21" s="3">
        <v>12</v>
      </c>
      <c r="O21" s="3">
        <f t="shared" si="10"/>
        <v>108</v>
      </c>
      <c r="P21" s="3">
        <f t="shared" si="3"/>
        <v>107</v>
      </c>
      <c r="Q21" s="3" t="str">
        <f t="shared" si="11"/>
        <v>HL</v>
      </c>
      <c r="R21" s="3" t="str">
        <f t="shared" si="11"/>
        <v>TT</v>
      </c>
      <c r="S21" s="3" t="str">
        <f t="shared" si="11"/>
        <v>HW</v>
      </c>
      <c r="T21" s="3" t="str">
        <f t="shared" si="11"/>
        <v>HL</v>
      </c>
      <c r="U21" s="3" t="str">
        <f t="shared" si="12"/>
        <v>U</v>
      </c>
      <c r="V21" s="3" t="str">
        <f t="shared" si="12"/>
        <v>U</v>
      </c>
      <c r="W21" s="3" t="str">
        <f t="shared" si="12"/>
        <v>U</v>
      </c>
      <c r="X21" s="3" t="str">
        <f t="shared" si="12"/>
        <v>O</v>
      </c>
      <c r="Z21" s="3">
        <v>55</v>
      </c>
      <c r="AB21" s="3" t="str">
        <f t="shared" si="8"/>
        <v>DEN/PHO</v>
      </c>
      <c r="AC21" s="3">
        <f t="shared" si="4"/>
        <v>1</v>
      </c>
      <c r="AD21" s="3">
        <f t="shared" si="5"/>
        <v>3</v>
      </c>
    </row>
    <row r="22" spans="1:30" ht="17.100000000000001" x14ac:dyDescent="0.45">
      <c r="A22" s="3">
        <v>191026</v>
      </c>
      <c r="B22" s="44">
        <v>0.47916666666666669</v>
      </c>
      <c r="C22" s="3" t="s">
        <v>26</v>
      </c>
      <c r="D22" s="3" t="s">
        <v>48</v>
      </c>
      <c r="E22" s="3">
        <v>24</v>
      </c>
      <c r="F22" s="3">
        <v>19</v>
      </c>
      <c r="G22" s="3">
        <v>31</v>
      </c>
      <c r="H22" s="3">
        <v>21</v>
      </c>
      <c r="J22" s="3">
        <v>17</v>
      </c>
      <c r="K22" s="3">
        <v>20</v>
      </c>
      <c r="L22" s="3">
        <v>18</v>
      </c>
      <c r="M22" s="3">
        <v>31</v>
      </c>
      <c r="O22" s="3">
        <f t="shared" si="10"/>
        <v>95</v>
      </c>
      <c r="P22" s="3">
        <f t="shared" si="3"/>
        <v>86</v>
      </c>
      <c r="Q22" s="3" t="str">
        <f t="shared" si="11"/>
        <v>HW</v>
      </c>
      <c r="R22" s="3" t="str">
        <f t="shared" si="11"/>
        <v>HL</v>
      </c>
      <c r="S22" s="3" t="str">
        <f t="shared" si="11"/>
        <v>HW</v>
      </c>
      <c r="T22" s="3" t="str">
        <f t="shared" si="11"/>
        <v>HL</v>
      </c>
      <c r="U22" s="3" t="str">
        <f t="shared" si="12"/>
        <v>U</v>
      </c>
      <c r="V22" s="3" t="str">
        <f t="shared" si="12"/>
        <v>U</v>
      </c>
      <c r="W22" s="3" t="str">
        <f t="shared" si="12"/>
        <v>U</v>
      </c>
      <c r="X22" s="3" t="str">
        <f t="shared" si="12"/>
        <v>U</v>
      </c>
      <c r="Z22" s="3">
        <v>53.5</v>
      </c>
      <c r="AB22" s="3" t="str">
        <f t="shared" si="8"/>
        <v>LAL/UTA</v>
      </c>
      <c r="AC22" s="3">
        <f t="shared" si="4"/>
        <v>0</v>
      </c>
      <c r="AD22" s="3">
        <f t="shared" si="5"/>
        <v>4</v>
      </c>
    </row>
    <row r="23" spans="1:30" ht="17.100000000000001" x14ac:dyDescent="0.45">
      <c r="A23" s="3">
        <v>191026</v>
      </c>
      <c r="B23" s="44">
        <v>0.375</v>
      </c>
      <c r="C23" s="3" t="s">
        <v>38</v>
      </c>
      <c r="D23" s="3" t="s">
        <v>32</v>
      </c>
      <c r="E23" s="3">
        <v>29</v>
      </c>
      <c r="F23" s="3">
        <v>31</v>
      </c>
      <c r="G23" s="3">
        <v>21</v>
      </c>
      <c r="H23" s="3">
        <v>21</v>
      </c>
      <c r="J23" s="3">
        <v>25</v>
      </c>
      <c r="K23" s="3">
        <v>22</v>
      </c>
      <c r="L23" s="3">
        <v>32</v>
      </c>
      <c r="M23" s="3">
        <v>31</v>
      </c>
      <c r="O23" s="3">
        <f t="shared" si="10"/>
        <v>102</v>
      </c>
      <c r="P23" s="3">
        <f t="shared" si="3"/>
        <v>110</v>
      </c>
      <c r="Q23" s="3" t="str">
        <f t="shared" si="11"/>
        <v>HW</v>
      </c>
      <c r="R23" s="3" t="str">
        <f t="shared" si="11"/>
        <v>HW</v>
      </c>
      <c r="S23" s="3" t="str">
        <f t="shared" si="11"/>
        <v>HL</v>
      </c>
      <c r="T23" s="3" t="str">
        <f t="shared" si="11"/>
        <v>HL</v>
      </c>
      <c r="U23" s="3" t="str">
        <f t="shared" si="12"/>
        <v>U</v>
      </c>
      <c r="V23" s="3" t="str">
        <f t="shared" si="12"/>
        <v>U</v>
      </c>
      <c r="W23" s="3" t="str">
        <f t="shared" si="12"/>
        <v>U</v>
      </c>
      <c r="X23" s="3" t="str">
        <f t="shared" si="12"/>
        <v>U</v>
      </c>
      <c r="Z23" s="3">
        <v>55.5</v>
      </c>
      <c r="AB23" s="3" t="str">
        <f t="shared" si="8"/>
        <v>MEM/CHI</v>
      </c>
      <c r="AC23" s="3">
        <f t="shared" si="4"/>
        <v>0</v>
      </c>
      <c r="AD23" s="3">
        <f t="shared" si="5"/>
        <v>4</v>
      </c>
    </row>
    <row r="24" spans="1:30" ht="17.100000000000001" x14ac:dyDescent="0.45">
      <c r="A24" s="3">
        <v>191026</v>
      </c>
      <c r="B24" s="44">
        <v>0.41666666666666669</v>
      </c>
      <c r="C24" s="3" t="s">
        <v>27</v>
      </c>
      <c r="D24" s="3" t="s">
        <v>33</v>
      </c>
      <c r="E24" s="3">
        <v>41</v>
      </c>
      <c r="F24" s="3">
        <v>23</v>
      </c>
      <c r="G24" s="3">
        <v>29</v>
      </c>
      <c r="H24" s="3">
        <v>23</v>
      </c>
      <c r="J24" s="3">
        <v>27</v>
      </c>
      <c r="K24" s="3">
        <v>45</v>
      </c>
      <c r="L24" s="3">
        <v>23</v>
      </c>
      <c r="M24" s="3">
        <v>28</v>
      </c>
      <c r="O24" s="3">
        <f t="shared" si="10"/>
        <v>116</v>
      </c>
      <c r="P24" s="3">
        <f t="shared" si="3"/>
        <v>123</v>
      </c>
      <c r="Q24" s="3" t="str">
        <f t="shared" si="11"/>
        <v>HW</v>
      </c>
      <c r="R24" s="3" t="str">
        <f t="shared" si="11"/>
        <v>HL</v>
      </c>
      <c r="S24" s="3" t="str">
        <f t="shared" si="11"/>
        <v>HW</v>
      </c>
      <c r="T24" s="3" t="str">
        <f t="shared" si="11"/>
        <v>HL</v>
      </c>
      <c r="U24" s="3" t="str">
        <f t="shared" si="12"/>
        <v>O</v>
      </c>
      <c r="V24" s="3" t="str">
        <f t="shared" si="12"/>
        <v>O</v>
      </c>
      <c r="W24" s="3" t="str">
        <f t="shared" si="12"/>
        <v>U</v>
      </c>
      <c r="X24" s="3" t="str">
        <f t="shared" si="12"/>
        <v>U</v>
      </c>
      <c r="Z24" s="3">
        <v>58.5</v>
      </c>
      <c r="AB24" s="3" t="str">
        <f t="shared" si="8"/>
        <v>NO/DAL</v>
      </c>
      <c r="AC24" s="3">
        <f t="shared" si="4"/>
        <v>2</v>
      </c>
      <c r="AD24" s="3">
        <f t="shared" si="5"/>
        <v>2</v>
      </c>
    </row>
    <row r="25" spans="1:30" ht="17.100000000000001" x14ac:dyDescent="0.45">
      <c r="A25" s="3">
        <v>191026</v>
      </c>
      <c r="B25" s="44">
        <v>0.45833333333333331</v>
      </c>
      <c r="C25" s="3" t="s">
        <v>49</v>
      </c>
      <c r="D25" s="3" t="s">
        <v>34</v>
      </c>
      <c r="E25" s="3">
        <v>24</v>
      </c>
      <c r="F25" s="3">
        <v>22</v>
      </c>
      <c r="G25" s="3">
        <v>24</v>
      </c>
      <c r="H25" s="3">
        <v>15</v>
      </c>
      <c r="J25" s="3">
        <v>28</v>
      </c>
      <c r="K25" s="3">
        <v>24</v>
      </c>
      <c r="L25" s="3">
        <v>26</v>
      </c>
      <c r="M25" s="3">
        <v>19</v>
      </c>
      <c r="O25" s="3">
        <f t="shared" si="10"/>
        <v>85</v>
      </c>
      <c r="P25" s="3">
        <f t="shared" si="3"/>
        <v>97</v>
      </c>
      <c r="Q25" s="3" t="str">
        <f t="shared" si="11"/>
        <v>HL</v>
      </c>
      <c r="R25" s="3" t="str">
        <f t="shared" si="11"/>
        <v>HL</v>
      </c>
      <c r="S25" s="3" t="str">
        <f t="shared" si="11"/>
        <v>HL</v>
      </c>
      <c r="T25" s="3" t="str">
        <f t="shared" si="11"/>
        <v>HL</v>
      </c>
      <c r="U25" s="3" t="str">
        <f t="shared" si="12"/>
        <v>U</v>
      </c>
      <c r="V25" s="3" t="str">
        <f t="shared" si="12"/>
        <v>U</v>
      </c>
      <c r="W25" s="3" t="str">
        <f t="shared" si="12"/>
        <v>U</v>
      </c>
      <c r="X25" s="3" t="str">
        <f t="shared" si="12"/>
        <v>U</v>
      </c>
      <c r="Z25" s="3">
        <v>56.5</v>
      </c>
      <c r="AB25" s="3" t="str">
        <f t="shared" si="8"/>
        <v>OKC/WAS</v>
      </c>
      <c r="AC25" s="3">
        <f t="shared" si="4"/>
        <v>0</v>
      </c>
      <c r="AD25" s="3">
        <f t="shared" si="5"/>
        <v>4</v>
      </c>
    </row>
    <row r="26" spans="1:30" ht="17.100000000000001" x14ac:dyDescent="0.45">
      <c r="A26" s="3">
        <v>191026</v>
      </c>
      <c r="B26" s="44">
        <v>0.47916666666666669</v>
      </c>
      <c r="C26" s="3" t="s">
        <v>44</v>
      </c>
      <c r="D26" s="3" t="s">
        <v>45</v>
      </c>
      <c r="E26" s="3">
        <v>27</v>
      </c>
      <c r="F26" s="3">
        <v>30</v>
      </c>
      <c r="G26" s="3">
        <v>27</v>
      </c>
      <c r="H26" s="3">
        <v>28</v>
      </c>
      <c r="J26" s="3">
        <v>25</v>
      </c>
      <c r="K26" s="3">
        <v>32</v>
      </c>
      <c r="L26" s="3">
        <v>37</v>
      </c>
      <c r="M26" s="3">
        <v>28</v>
      </c>
      <c r="O26" s="3">
        <f t="shared" si="10"/>
        <v>112</v>
      </c>
      <c r="P26" s="3">
        <f t="shared" si="3"/>
        <v>122</v>
      </c>
      <c r="Q26" s="3" t="str">
        <f t="shared" si="11"/>
        <v>HW</v>
      </c>
      <c r="R26" s="3" t="str">
        <f t="shared" si="11"/>
        <v>HL</v>
      </c>
      <c r="S26" s="3" t="str">
        <f t="shared" si="11"/>
        <v>HL</v>
      </c>
      <c r="T26" s="3" t="str">
        <f t="shared" si="11"/>
        <v>TT</v>
      </c>
      <c r="U26" s="3" t="str">
        <f t="shared" si="12"/>
        <v>U</v>
      </c>
      <c r="V26" s="3" t="str">
        <f t="shared" si="12"/>
        <v>O</v>
      </c>
      <c r="W26" s="3" t="str">
        <f t="shared" si="12"/>
        <v>O</v>
      </c>
      <c r="X26" s="3" t="str">
        <f t="shared" si="12"/>
        <v>O</v>
      </c>
      <c r="Z26" s="3">
        <v>55.5</v>
      </c>
      <c r="AB26" s="3" t="str">
        <f t="shared" si="8"/>
        <v>SAC/POR</v>
      </c>
      <c r="AC26" s="3">
        <f t="shared" si="4"/>
        <v>3</v>
      </c>
      <c r="AD26" s="3">
        <f t="shared" si="5"/>
        <v>1</v>
      </c>
    </row>
    <row r="27" spans="1:30" ht="17.100000000000001" x14ac:dyDescent="0.45">
      <c r="A27" s="3">
        <v>191027</v>
      </c>
      <c r="B27" s="44">
        <v>0.25</v>
      </c>
      <c r="C27" s="3" t="s">
        <v>53</v>
      </c>
      <c r="D27" s="3" t="s">
        <v>37</v>
      </c>
      <c r="E27" s="3">
        <v>33</v>
      </c>
      <c r="F27" s="3">
        <v>37</v>
      </c>
      <c r="G27" s="3">
        <v>23</v>
      </c>
      <c r="H27" s="3">
        <v>28</v>
      </c>
      <c r="I27" s="3">
        <v>5</v>
      </c>
      <c r="J27" s="3">
        <v>29</v>
      </c>
      <c r="K27" s="3">
        <v>24</v>
      </c>
      <c r="L27" s="3">
        <v>29</v>
      </c>
      <c r="M27" s="3">
        <v>39</v>
      </c>
      <c r="N27" s="3">
        <v>10</v>
      </c>
      <c r="O27" s="3">
        <f t="shared" si="10"/>
        <v>126</v>
      </c>
      <c r="P27" s="3">
        <f t="shared" si="3"/>
        <v>131</v>
      </c>
      <c r="Q27" s="3" t="str">
        <f t="shared" si="11"/>
        <v>HW</v>
      </c>
      <c r="R27" s="3" t="str">
        <f t="shared" si="11"/>
        <v>HW</v>
      </c>
      <c r="S27" s="3" t="str">
        <f t="shared" si="11"/>
        <v>HL</v>
      </c>
      <c r="T27" s="3" t="str">
        <f t="shared" si="11"/>
        <v>HL</v>
      </c>
      <c r="U27" s="3" t="str">
        <f t="shared" si="12"/>
        <v>O</v>
      </c>
      <c r="V27" s="3" t="str">
        <f t="shared" si="12"/>
        <v>O</v>
      </c>
      <c r="W27" s="3" t="str">
        <f t="shared" si="12"/>
        <v>U</v>
      </c>
      <c r="X27" s="3" t="str">
        <f t="shared" si="12"/>
        <v>O</v>
      </c>
      <c r="Z27" s="3">
        <v>57.5</v>
      </c>
      <c r="AB27" s="3" t="str">
        <f t="shared" si="8"/>
        <v>MIL/MIA</v>
      </c>
      <c r="AC27" s="3">
        <f t="shared" si="4"/>
        <v>3</v>
      </c>
      <c r="AD27" s="3">
        <f t="shared" si="5"/>
        <v>1</v>
      </c>
    </row>
    <row r="28" spans="1:30" ht="17.100000000000001" x14ac:dyDescent="0.45">
      <c r="A28" s="3">
        <v>191027</v>
      </c>
      <c r="B28" s="44">
        <v>0.33333333333333331</v>
      </c>
      <c r="C28" s="3" t="s">
        <v>36</v>
      </c>
      <c r="D28" s="3" t="s">
        <v>41</v>
      </c>
      <c r="E28" s="3">
        <v>29</v>
      </c>
      <c r="F28" s="3">
        <v>28</v>
      </c>
      <c r="G28" s="3">
        <v>26</v>
      </c>
      <c r="H28" s="3">
        <v>28</v>
      </c>
      <c r="J28" s="3">
        <v>28</v>
      </c>
      <c r="K28" s="3">
        <v>26</v>
      </c>
      <c r="L28" s="3">
        <v>29</v>
      </c>
      <c r="M28" s="3">
        <v>34</v>
      </c>
      <c r="O28" s="3">
        <f t="shared" si="10"/>
        <v>111</v>
      </c>
      <c r="P28" s="3">
        <f t="shared" si="3"/>
        <v>117</v>
      </c>
      <c r="Q28" s="3" t="str">
        <f t="shared" si="11"/>
        <v>HW</v>
      </c>
      <c r="R28" s="3" t="str">
        <f t="shared" si="11"/>
        <v>HW</v>
      </c>
      <c r="S28" s="3" t="str">
        <f t="shared" si="11"/>
        <v>HL</v>
      </c>
      <c r="T28" s="3" t="str">
        <f t="shared" si="11"/>
        <v>HL</v>
      </c>
      <c r="U28" s="3" t="str">
        <f t="shared" si="12"/>
        <v>O</v>
      </c>
      <c r="V28" s="3" t="str">
        <f t="shared" si="12"/>
        <v>U</v>
      </c>
      <c r="W28" s="3" t="str">
        <f t="shared" si="12"/>
        <v>T</v>
      </c>
      <c r="X28" s="3" t="str">
        <f t="shared" si="12"/>
        <v>O</v>
      </c>
      <c r="Z28" s="3">
        <v>55</v>
      </c>
      <c r="AB28" s="3" t="str">
        <f t="shared" si="8"/>
        <v>DET/PHI</v>
      </c>
      <c r="AC28" s="3">
        <f t="shared" si="4"/>
        <v>2</v>
      </c>
      <c r="AD28" s="3">
        <f t="shared" si="5"/>
        <v>1</v>
      </c>
    </row>
    <row r="29" spans="1:30" ht="17.100000000000001" x14ac:dyDescent="0.45">
      <c r="A29" s="3">
        <v>191027</v>
      </c>
      <c r="B29" s="45">
        <v>0.35416666666666669</v>
      </c>
      <c r="C29" s="5" t="s">
        <v>50</v>
      </c>
      <c r="D29" s="5" t="s">
        <v>39</v>
      </c>
      <c r="E29" s="3">
        <v>23</v>
      </c>
      <c r="F29" s="3">
        <v>29</v>
      </c>
      <c r="G29" s="3">
        <v>25</v>
      </c>
      <c r="H29" s="3">
        <v>26</v>
      </c>
      <c r="J29" s="3">
        <v>26</v>
      </c>
      <c r="K29" s="3">
        <v>24</v>
      </c>
      <c r="L29" s="3">
        <v>25</v>
      </c>
      <c r="M29" s="3">
        <v>24</v>
      </c>
      <c r="O29" s="3">
        <f t="shared" si="10"/>
        <v>103</v>
      </c>
      <c r="P29" s="3">
        <f t="shared" si="3"/>
        <v>99</v>
      </c>
      <c r="Q29" s="3" t="str">
        <f t="shared" si="11"/>
        <v>HL</v>
      </c>
      <c r="R29" s="3" t="str">
        <f t="shared" si="11"/>
        <v>HW</v>
      </c>
      <c r="S29" s="3" t="str">
        <f t="shared" si="11"/>
        <v>TT</v>
      </c>
      <c r="T29" s="3" t="str">
        <f t="shared" si="11"/>
        <v>HW</v>
      </c>
      <c r="U29" s="3" t="str">
        <f t="shared" si="12"/>
        <v>U</v>
      </c>
      <c r="V29" s="3" t="str">
        <f t="shared" si="12"/>
        <v>U</v>
      </c>
      <c r="W29" s="3" t="str">
        <f t="shared" si="12"/>
        <v>U</v>
      </c>
      <c r="X29" s="3" t="str">
        <f t="shared" si="12"/>
        <v>U</v>
      </c>
      <c r="Z29" s="3">
        <v>56</v>
      </c>
      <c r="AB29" s="3" t="str">
        <f t="shared" si="8"/>
        <v>ATL/ORL</v>
      </c>
      <c r="AC29" s="3">
        <f t="shared" si="4"/>
        <v>0</v>
      </c>
      <c r="AD29" s="3">
        <f t="shared" si="5"/>
        <v>4</v>
      </c>
    </row>
    <row r="30" spans="1:30" ht="17.100000000000001" x14ac:dyDescent="0.45">
      <c r="A30" s="3">
        <v>191027</v>
      </c>
      <c r="B30" s="44">
        <v>0.375</v>
      </c>
      <c r="C30" s="3" t="s">
        <v>54</v>
      </c>
      <c r="D30" s="3" t="s">
        <v>42</v>
      </c>
      <c r="E30" s="3">
        <v>24</v>
      </c>
      <c r="F30" s="3">
        <v>27</v>
      </c>
      <c r="G30" s="3">
        <v>25</v>
      </c>
      <c r="H30" s="3">
        <v>19</v>
      </c>
      <c r="J30" s="3">
        <v>22</v>
      </c>
      <c r="K30" s="3">
        <v>24</v>
      </c>
      <c r="L30" s="3">
        <v>36</v>
      </c>
      <c r="M30" s="3">
        <v>36</v>
      </c>
      <c r="O30" s="3">
        <f t="shared" si="10"/>
        <v>95</v>
      </c>
      <c r="P30" s="3">
        <f t="shared" si="3"/>
        <v>118</v>
      </c>
      <c r="Q30" s="3" t="str">
        <f t="shared" si="11"/>
        <v>HW</v>
      </c>
      <c r="R30" s="3" t="str">
        <f t="shared" si="11"/>
        <v>HW</v>
      </c>
      <c r="S30" s="3" t="str">
        <f t="shared" si="11"/>
        <v>HL</v>
      </c>
      <c r="T30" s="3" t="str">
        <f t="shared" si="11"/>
        <v>HL</v>
      </c>
      <c r="U30" s="3" t="str">
        <f t="shared" si="12"/>
        <v>U</v>
      </c>
      <c r="V30" s="3" t="str">
        <f t="shared" si="12"/>
        <v>U</v>
      </c>
      <c r="W30" s="3" t="str">
        <f t="shared" si="12"/>
        <v>O</v>
      </c>
      <c r="X30" s="3" t="str">
        <f t="shared" si="12"/>
        <v>O</v>
      </c>
      <c r="Z30" s="3">
        <v>53.5</v>
      </c>
      <c r="AB30" s="3" t="str">
        <f t="shared" si="8"/>
        <v>NY/BOS</v>
      </c>
      <c r="AC30" s="3">
        <f t="shared" si="4"/>
        <v>2</v>
      </c>
      <c r="AD30" s="3">
        <f t="shared" si="5"/>
        <v>2</v>
      </c>
    </row>
    <row r="31" spans="1:30" ht="17.100000000000001" x14ac:dyDescent="0.45">
      <c r="A31" s="3">
        <v>191027</v>
      </c>
      <c r="B31" s="44">
        <v>0.375</v>
      </c>
      <c r="C31" s="3" t="s">
        <v>32</v>
      </c>
      <c r="D31" s="3" t="s">
        <v>28</v>
      </c>
      <c r="E31" s="3">
        <v>23</v>
      </c>
      <c r="F31" s="3">
        <v>17</v>
      </c>
      <c r="G31" s="3">
        <v>22</v>
      </c>
      <c r="H31" s="3">
        <v>22</v>
      </c>
      <c r="J31" s="3">
        <v>24</v>
      </c>
      <c r="K31" s="3">
        <v>24</v>
      </c>
      <c r="L31" s="3">
        <v>36</v>
      </c>
      <c r="M31" s="3">
        <v>24</v>
      </c>
      <c r="O31" s="3">
        <f t="shared" si="10"/>
        <v>84</v>
      </c>
      <c r="P31" s="3">
        <f t="shared" si="3"/>
        <v>108</v>
      </c>
      <c r="Q31" s="3" t="str">
        <f t="shared" si="11"/>
        <v>HL</v>
      </c>
      <c r="R31" s="3" t="str">
        <f t="shared" si="11"/>
        <v>HL</v>
      </c>
      <c r="S31" s="3" t="str">
        <f t="shared" si="11"/>
        <v>HL</v>
      </c>
      <c r="T31" s="3" t="str">
        <f t="shared" si="11"/>
        <v>HL</v>
      </c>
      <c r="U31" s="3" t="str">
        <f t="shared" si="12"/>
        <v>U</v>
      </c>
      <c r="V31" s="3" t="str">
        <f t="shared" si="12"/>
        <v>U</v>
      </c>
      <c r="W31" s="3" t="str">
        <f t="shared" si="12"/>
        <v>O</v>
      </c>
      <c r="X31" s="3" t="str">
        <f t="shared" si="12"/>
        <v>U</v>
      </c>
      <c r="Z31" s="3">
        <v>57</v>
      </c>
      <c r="AB31" s="3" t="str">
        <f t="shared" si="8"/>
        <v>CHI/TOR</v>
      </c>
      <c r="AC31" s="3">
        <f t="shared" si="4"/>
        <v>1</v>
      </c>
      <c r="AD31" s="3">
        <f t="shared" si="5"/>
        <v>3</v>
      </c>
    </row>
    <row r="32" spans="1:30" ht="17.100000000000001" x14ac:dyDescent="0.45">
      <c r="A32" s="3">
        <v>191027</v>
      </c>
      <c r="B32" s="44">
        <v>0.375</v>
      </c>
      <c r="C32" s="3" t="s">
        <v>40</v>
      </c>
      <c r="D32" s="3" t="s">
        <v>35</v>
      </c>
      <c r="E32" s="3">
        <v>26</v>
      </c>
      <c r="F32" s="3">
        <v>39</v>
      </c>
      <c r="G32" s="3">
        <v>25</v>
      </c>
      <c r="H32" s="3">
        <v>20</v>
      </c>
      <c r="J32" s="3">
        <v>28</v>
      </c>
      <c r="K32" s="3">
        <v>20</v>
      </c>
      <c r="L32" s="3">
        <v>26</v>
      </c>
      <c r="M32" s="3">
        <v>25</v>
      </c>
      <c r="O32" s="3">
        <f t="shared" si="10"/>
        <v>110</v>
      </c>
      <c r="P32" s="3">
        <f t="shared" si="3"/>
        <v>99</v>
      </c>
      <c r="Q32" s="3" t="str">
        <f t="shared" si="11"/>
        <v>HL</v>
      </c>
      <c r="R32" s="3" t="str">
        <f t="shared" si="11"/>
        <v>HW</v>
      </c>
      <c r="S32" s="3" t="str">
        <f t="shared" si="11"/>
        <v>HL</v>
      </c>
      <c r="T32" s="3" t="str">
        <f t="shared" si="11"/>
        <v>HL</v>
      </c>
      <c r="U32" s="3" t="str">
        <f t="shared" si="12"/>
        <v>U</v>
      </c>
      <c r="V32" s="3" t="str">
        <f t="shared" si="12"/>
        <v>O</v>
      </c>
      <c r="W32" s="3" t="str">
        <f t="shared" si="12"/>
        <v>U</v>
      </c>
      <c r="X32" s="3" t="str">
        <f t="shared" si="12"/>
        <v>U</v>
      </c>
      <c r="Z32" s="3">
        <v>55</v>
      </c>
      <c r="AB32" s="3" t="str">
        <f t="shared" si="8"/>
        <v>CLE/IND</v>
      </c>
      <c r="AC32" s="3">
        <f t="shared" si="4"/>
        <v>1</v>
      </c>
      <c r="AD32" s="3">
        <f t="shared" si="5"/>
        <v>3</v>
      </c>
    </row>
    <row r="33" spans="1:30" ht="17.100000000000001" x14ac:dyDescent="0.45">
      <c r="A33" s="3">
        <v>191027</v>
      </c>
      <c r="B33" s="44">
        <v>0.375</v>
      </c>
      <c r="C33" s="3" t="s">
        <v>52</v>
      </c>
      <c r="D33" s="3" t="s">
        <v>27</v>
      </c>
      <c r="E33" s="3">
        <v>29</v>
      </c>
      <c r="F33" s="3">
        <v>32</v>
      </c>
      <c r="G33" s="3">
        <v>36</v>
      </c>
      <c r="H33" s="3">
        <v>29</v>
      </c>
      <c r="J33" s="3">
        <v>24</v>
      </c>
      <c r="K33" s="3">
        <v>37</v>
      </c>
      <c r="L33" s="3">
        <v>39</v>
      </c>
      <c r="M33" s="3">
        <v>23</v>
      </c>
      <c r="O33" s="3">
        <f t="shared" si="10"/>
        <v>126</v>
      </c>
      <c r="P33" s="3">
        <f t="shared" si="3"/>
        <v>123</v>
      </c>
      <c r="Q33" s="3" t="str">
        <f t="shared" si="11"/>
        <v>HW</v>
      </c>
      <c r="R33" s="3" t="str">
        <f t="shared" si="11"/>
        <v>HL</v>
      </c>
      <c r="S33" s="3" t="str">
        <f t="shared" si="11"/>
        <v>HL</v>
      </c>
      <c r="T33" s="3" t="str">
        <f t="shared" si="11"/>
        <v>HW</v>
      </c>
      <c r="U33" s="3" t="str">
        <f t="shared" si="12"/>
        <v>U</v>
      </c>
      <c r="V33" s="3" t="str">
        <f t="shared" si="12"/>
        <v>O</v>
      </c>
      <c r="W33" s="3" t="str">
        <f t="shared" si="12"/>
        <v>O</v>
      </c>
      <c r="X33" s="3" t="str">
        <f t="shared" si="12"/>
        <v>U</v>
      </c>
      <c r="Z33" s="3">
        <v>61</v>
      </c>
      <c r="AB33" s="3" t="str">
        <f t="shared" si="8"/>
        <v>HOU/NO</v>
      </c>
      <c r="AC33" s="3">
        <f t="shared" si="4"/>
        <v>2</v>
      </c>
      <c r="AD33" s="3">
        <f t="shared" si="5"/>
        <v>2</v>
      </c>
    </row>
    <row r="34" spans="1:30" ht="17.100000000000001" x14ac:dyDescent="0.45">
      <c r="A34" s="3">
        <v>191027</v>
      </c>
      <c r="B34" s="44">
        <v>0.39583333333333331</v>
      </c>
      <c r="C34" s="3" t="s">
        <v>56</v>
      </c>
      <c r="D34" s="3" t="s">
        <v>34</v>
      </c>
      <c r="E34" s="3">
        <v>30</v>
      </c>
      <c r="F34" s="3">
        <v>30</v>
      </c>
      <c r="G34" s="3">
        <v>32</v>
      </c>
      <c r="H34" s="3">
        <v>32</v>
      </c>
      <c r="J34" s="3">
        <v>26</v>
      </c>
      <c r="K34" s="3">
        <v>34</v>
      </c>
      <c r="L34" s="3">
        <v>30</v>
      </c>
      <c r="M34" s="3">
        <v>32</v>
      </c>
      <c r="O34" s="3">
        <f t="shared" si="10"/>
        <v>124</v>
      </c>
      <c r="P34" s="3">
        <f t="shared" si="3"/>
        <v>122</v>
      </c>
      <c r="Q34" s="3" t="str">
        <f t="shared" si="11"/>
        <v>HW</v>
      </c>
      <c r="R34" s="3" t="str">
        <f t="shared" si="11"/>
        <v>HL</v>
      </c>
      <c r="S34" s="3" t="str">
        <f t="shared" si="11"/>
        <v>HW</v>
      </c>
      <c r="T34" s="3" t="str">
        <f t="shared" si="11"/>
        <v>TT</v>
      </c>
      <c r="U34" s="3" t="str">
        <f t="shared" si="12"/>
        <v>U</v>
      </c>
      <c r="V34" s="3" t="str">
        <f t="shared" si="12"/>
        <v>O</v>
      </c>
      <c r="W34" s="3" t="str">
        <f t="shared" si="12"/>
        <v>O</v>
      </c>
      <c r="X34" s="3" t="str">
        <f t="shared" si="12"/>
        <v>O</v>
      </c>
      <c r="Z34" s="3">
        <v>56.5</v>
      </c>
      <c r="AB34" s="3" t="str">
        <f t="shared" si="8"/>
        <v>SAS/WAS</v>
      </c>
      <c r="AC34" s="3">
        <f t="shared" si="4"/>
        <v>3</v>
      </c>
      <c r="AD34" s="3">
        <f t="shared" si="5"/>
        <v>1</v>
      </c>
    </row>
    <row r="35" spans="1:30" ht="17.100000000000001" x14ac:dyDescent="0.45">
      <c r="A35" s="3">
        <v>191027</v>
      </c>
      <c r="B35" s="45">
        <v>0.41666666666666669</v>
      </c>
      <c r="C35" s="5" t="s">
        <v>48</v>
      </c>
      <c r="D35" s="5" t="s">
        <v>44</v>
      </c>
      <c r="E35" s="3">
        <v>35</v>
      </c>
      <c r="F35" s="3">
        <v>31</v>
      </c>
      <c r="G35" s="3">
        <v>27</v>
      </c>
      <c r="H35" s="3">
        <v>20</v>
      </c>
      <c r="J35" s="3">
        <v>25</v>
      </c>
      <c r="K35" s="3">
        <v>16</v>
      </c>
      <c r="L35" s="3">
        <v>17</v>
      </c>
      <c r="M35" s="3">
        <v>23</v>
      </c>
      <c r="O35" s="3">
        <f t="shared" si="10"/>
        <v>113</v>
      </c>
      <c r="P35" s="3">
        <f t="shared" si="3"/>
        <v>81</v>
      </c>
      <c r="Q35" s="3" t="str">
        <f t="shared" si="11"/>
        <v>HW</v>
      </c>
      <c r="R35" s="3" t="str">
        <f t="shared" si="11"/>
        <v>HW</v>
      </c>
      <c r="S35" s="3" t="str">
        <f t="shared" si="11"/>
        <v>HW</v>
      </c>
      <c r="T35" s="3" t="str">
        <f t="shared" si="11"/>
        <v>HL</v>
      </c>
      <c r="U35" s="3" t="str">
        <f t="shared" si="12"/>
        <v>O</v>
      </c>
      <c r="V35" s="3" t="str">
        <f t="shared" si="12"/>
        <v>U</v>
      </c>
      <c r="W35" s="3" t="str">
        <f t="shared" si="12"/>
        <v>U</v>
      </c>
      <c r="X35" s="3" t="str">
        <f t="shared" si="12"/>
        <v>U</v>
      </c>
      <c r="Z35" s="3">
        <v>57</v>
      </c>
      <c r="AB35" s="3" t="str">
        <f t="shared" si="8"/>
        <v>UTA/SAC</v>
      </c>
      <c r="AC35" s="3">
        <f t="shared" si="4"/>
        <v>1</v>
      </c>
      <c r="AD35" s="3">
        <f t="shared" si="5"/>
        <v>3</v>
      </c>
    </row>
    <row r="36" spans="1:30" ht="17.100000000000001" x14ac:dyDescent="0.45">
      <c r="A36" s="3">
        <v>191027</v>
      </c>
      <c r="B36" s="45">
        <v>0.45833333333333331</v>
      </c>
      <c r="C36" s="5" t="s">
        <v>43</v>
      </c>
      <c r="D36" s="5" t="s">
        <v>25</v>
      </c>
      <c r="E36" s="3">
        <v>26</v>
      </c>
      <c r="F36" s="3">
        <v>29</v>
      </c>
      <c r="G36" s="3">
        <v>36</v>
      </c>
      <c r="H36" s="3">
        <v>39</v>
      </c>
      <c r="J36" s="3">
        <v>22</v>
      </c>
      <c r="K36" s="3">
        <v>33</v>
      </c>
      <c r="L36" s="3">
        <v>30</v>
      </c>
      <c r="M36" s="3">
        <v>37</v>
      </c>
      <c r="O36" s="3">
        <f t="shared" si="10"/>
        <v>130</v>
      </c>
      <c r="P36" s="3">
        <f t="shared" si="3"/>
        <v>122</v>
      </c>
      <c r="Q36" s="3" t="str">
        <f t="shared" ref="Q36:T36" si="13">IF(E36=J36,"TT",IF(E36&gt;J36,"HW","HL"))</f>
        <v>HW</v>
      </c>
      <c r="R36" s="3" t="str">
        <f t="shared" si="13"/>
        <v>HL</v>
      </c>
      <c r="S36" s="3" t="str">
        <f t="shared" si="13"/>
        <v>HW</v>
      </c>
      <c r="T36" s="3" t="str">
        <f t="shared" si="13"/>
        <v>HW</v>
      </c>
      <c r="U36" s="3" t="str">
        <f t="shared" ref="U36:X36" si="14">IF(SUM(E36,J36)=$Z36,"T",IF(SUM(E36,J36)&gt;$Z36,"O","U"))</f>
        <v>U</v>
      </c>
      <c r="V36" s="3" t="str">
        <f t="shared" si="14"/>
        <v>O</v>
      </c>
      <c r="W36" s="3" t="str">
        <f t="shared" si="14"/>
        <v>O</v>
      </c>
      <c r="X36" s="3" t="str">
        <f t="shared" si="14"/>
        <v>O</v>
      </c>
      <c r="Z36" s="3">
        <v>58.5</v>
      </c>
      <c r="AB36" s="3" t="str">
        <f t="shared" si="8"/>
        <v>PHO/LAC</v>
      </c>
      <c r="AC36" s="3">
        <f t="shared" si="4"/>
        <v>3</v>
      </c>
      <c r="AD36" s="3">
        <f t="shared" si="5"/>
        <v>1</v>
      </c>
    </row>
    <row r="37" spans="1:30" ht="17.100000000000001" x14ac:dyDescent="0.45">
      <c r="A37" s="3">
        <v>191028</v>
      </c>
      <c r="B37" s="46">
        <v>0.1875</v>
      </c>
      <c r="C37" s="3" t="s">
        <v>57</v>
      </c>
      <c r="D37" s="3" t="s">
        <v>58</v>
      </c>
      <c r="E37" s="3">
        <v>35</v>
      </c>
      <c r="F37" s="3">
        <v>35</v>
      </c>
      <c r="G37" s="3">
        <v>35</v>
      </c>
      <c r="H37" s="3">
        <v>15</v>
      </c>
      <c r="J37" s="3">
        <v>20</v>
      </c>
      <c r="K37" s="3">
        <v>17</v>
      </c>
      <c r="L37" s="3">
        <v>31</v>
      </c>
      <c r="M37" s="3">
        <v>24</v>
      </c>
      <c r="O37" s="3">
        <f t="shared" ref="O37:O41" si="15">SUM(E37:I37)</f>
        <v>120</v>
      </c>
      <c r="P37" s="3">
        <f t="shared" ref="P37:P41" si="16">SUM(J37:N37)</f>
        <v>92</v>
      </c>
      <c r="Q37" s="3" t="str">
        <f t="shared" ref="Q37:Q41" si="17">IF(E37=J37,"TT",IF(E37&gt;J37,"HW","HL"))</f>
        <v>HW</v>
      </c>
      <c r="R37" s="3" t="str">
        <f t="shared" ref="R37:R41" si="18">IF(F37=K37,"TT",IF(F37&gt;K37,"HW","HL"))</f>
        <v>HW</v>
      </c>
      <c r="S37" s="3" t="str">
        <f t="shared" ref="S37:S41" si="19">IF(G37=L37,"TT",IF(G37&gt;L37,"HW","HL"))</f>
        <v>HW</v>
      </c>
      <c r="T37" s="3" t="str">
        <f t="shared" ref="T37:T41" si="20">IF(H37=M37,"TT",IF(H37&gt;M37,"HW","HL"))</f>
        <v>HL</v>
      </c>
      <c r="U37" s="3" t="str">
        <f t="shared" ref="U37:U41" si="21">IF(SUM(E37,J37)=$Z37,"T",IF(SUM(E37,J37)&gt;$Z37,"O","U"))</f>
        <v>U</v>
      </c>
      <c r="V37" s="3" t="str">
        <f t="shared" ref="V37:V41" si="22">IF(SUM(F37,K37)=$Z37,"T",IF(SUM(F37,K37)&gt;$Z37,"O","U"))</f>
        <v>U</v>
      </c>
      <c r="W37" s="3" t="str">
        <f t="shared" ref="W37:W41" si="23">IF(SUM(G37,L37)=$Z37,"T",IF(SUM(G37,L37)&gt;$Z37,"O","U"))</f>
        <v>O</v>
      </c>
      <c r="X37" s="3" t="str">
        <f t="shared" ref="X37:X41" si="24">IF(SUM(H37,M37)=$Z37,"T",IF(SUM(H37,M37)&gt;$Z37,"O","U"))</f>
        <v>U</v>
      </c>
      <c r="Z37" s="3">
        <v>57.5</v>
      </c>
      <c r="AB37" s="3" t="str">
        <f t="shared" si="8"/>
        <v>OKC/GS</v>
      </c>
      <c r="AC37" s="3">
        <f t="shared" si="4"/>
        <v>1</v>
      </c>
      <c r="AD37" s="3">
        <f t="shared" si="5"/>
        <v>3</v>
      </c>
    </row>
    <row r="38" spans="1:30" ht="17.100000000000001" x14ac:dyDescent="0.45">
      <c r="A38" s="3">
        <v>191028</v>
      </c>
      <c r="B38" s="45">
        <v>0.29166666666666669</v>
      </c>
      <c r="C38" s="3" t="s">
        <v>59</v>
      </c>
      <c r="D38" s="3" t="s">
        <v>60</v>
      </c>
      <c r="E38" s="3">
        <v>35</v>
      </c>
      <c r="F38" s="3">
        <v>24</v>
      </c>
      <c r="G38" s="3">
        <v>33</v>
      </c>
      <c r="H38" s="3">
        <v>28</v>
      </c>
      <c r="I38" s="3">
        <v>14</v>
      </c>
      <c r="J38" s="3">
        <v>29</v>
      </c>
      <c r="K38" s="3">
        <v>28</v>
      </c>
      <c r="L38" s="3">
        <v>40</v>
      </c>
      <c r="M38" s="3">
        <v>23</v>
      </c>
      <c r="N38" s="3">
        <v>13</v>
      </c>
      <c r="O38" s="3">
        <f t="shared" si="15"/>
        <v>134</v>
      </c>
      <c r="P38" s="3">
        <f t="shared" si="16"/>
        <v>133</v>
      </c>
      <c r="Q38" s="3" t="str">
        <f t="shared" si="17"/>
        <v>HW</v>
      </c>
      <c r="R38" s="3" t="str">
        <f t="shared" si="18"/>
        <v>HL</v>
      </c>
      <c r="S38" s="3" t="str">
        <f t="shared" si="19"/>
        <v>HL</v>
      </c>
      <c r="T38" s="3" t="str">
        <f t="shared" si="20"/>
        <v>HW</v>
      </c>
      <c r="U38" s="3" t="str">
        <f t="shared" si="21"/>
        <v>O</v>
      </c>
      <c r="V38" s="3" t="str">
        <f t="shared" si="22"/>
        <v>U</v>
      </c>
      <c r="W38" s="3" t="str">
        <f t="shared" si="23"/>
        <v>O</v>
      </c>
      <c r="X38" s="3" t="str">
        <f t="shared" si="24"/>
        <v>U</v>
      </c>
      <c r="Z38" s="3">
        <v>54.5</v>
      </c>
      <c r="AB38" s="3" t="str">
        <f t="shared" si="8"/>
        <v>MEM/BKN</v>
      </c>
      <c r="AC38" s="3">
        <f t="shared" si="4"/>
        <v>2</v>
      </c>
      <c r="AD38" s="3">
        <f t="shared" si="5"/>
        <v>2</v>
      </c>
    </row>
    <row r="39" spans="1:30" ht="17.100000000000001" x14ac:dyDescent="0.45">
      <c r="A39" s="3">
        <v>191028</v>
      </c>
      <c r="B39" s="44">
        <v>0.33333333333333331</v>
      </c>
      <c r="C39" s="3" t="s">
        <v>61</v>
      </c>
      <c r="D39" s="3" t="s">
        <v>62</v>
      </c>
      <c r="E39" s="3">
        <v>40</v>
      </c>
      <c r="F39" s="3">
        <v>31</v>
      </c>
      <c r="G39" s="3">
        <v>24</v>
      </c>
      <c r="H39" s="3">
        <v>24</v>
      </c>
      <c r="J39" s="3">
        <v>25</v>
      </c>
      <c r="K39" s="3">
        <v>34</v>
      </c>
      <c r="L39" s="3">
        <v>36</v>
      </c>
      <c r="M39" s="3">
        <v>26</v>
      </c>
      <c r="O39" s="3">
        <f t="shared" si="15"/>
        <v>119</v>
      </c>
      <c r="P39" s="3">
        <f t="shared" si="16"/>
        <v>121</v>
      </c>
      <c r="Q39" s="3" t="str">
        <f t="shared" si="17"/>
        <v>HW</v>
      </c>
      <c r="R39" s="3" t="str">
        <f t="shared" si="18"/>
        <v>HL</v>
      </c>
      <c r="S39" s="3" t="str">
        <f t="shared" si="19"/>
        <v>HL</v>
      </c>
      <c r="T39" s="3" t="str">
        <f t="shared" si="20"/>
        <v>HL</v>
      </c>
      <c r="U39" s="3" t="str">
        <f t="shared" si="21"/>
        <v>O</v>
      </c>
      <c r="V39" s="3" t="str">
        <f t="shared" si="22"/>
        <v>O</v>
      </c>
      <c r="W39" s="3" t="str">
        <f t="shared" si="23"/>
        <v>O</v>
      </c>
      <c r="X39" s="3" t="str">
        <f t="shared" si="24"/>
        <v>U</v>
      </c>
      <c r="Z39" s="3">
        <v>54</v>
      </c>
      <c r="AB39" s="3" t="str">
        <f t="shared" si="8"/>
        <v>DAL/POR</v>
      </c>
      <c r="AC39" s="3">
        <f t="shared" si="4"/>
        <v>3</v>
      </c>
      <c r="AD39" s="3">
        <f t="shared" si="5"/>
        <v>1</v>
      </c>
    </row>
    <row r="40" spans="1:30" ht="17.100000000000001" x14ac:dyDescent="0.45">
      <c r="A40" s="3">
        <v>191028</v>
      </c>
      <c r="B40" s="44">
        <v>0.33333333333333331</v>
      </c>
      <c r="C40" s="3" t="s">
        <v>63</v>
      </c>
      <c r="D40" s="6" t="s">
        <v>64</v>
      </c>
      <c r="E40" s="3">
        <v>36</v>
      </c>
      <c r="F40" s="3">
        <v>19</v>
      </c>
      <c r="G40" s="3">
        <v>22</v>
      </c>
      <c r="H40" s="3">
        <v>39</v>
      </c>
      <c r="J40" s="3">
        <v>23</v>
      </c>
      <c r="K40" s="3">
        <v>34</v>
      </c>
      <c r="L40" s="3">
        <v>27</v>
      </c>
      <c r="M40" s="3">
        <v>25</v>
      </c>
      <c r="O40" s="3">
        <f t="shared" si="15"/>
        <v>116</v>
      </c>
      <c r="P40" s="3">
        <f t="shared" si="16"/>
        <v>109</v>
      </c>
      <c r="Q40" s="3" t="str">
        <f t="shared" si="17"/>
        <v>HW</v>
      </c>
      <c r="R40" s="3" t="str">
        <f t="shared" si="18"/>
        <v>HL</v>
      </c>
      <c r="S40" s="3" t="str">
        <f t="shared" si="19"/>
        <v>HL</v>
      </c>
      <c r="T40" s="3" t="str">
        <f t="shared" si="20"/>
        <v>HW</v>
      </c>
      <c r="U40" s="3" t="str">
        <f t="shared" si="21"/>
        <v>O</v>
      </c>
      <c r="V40" s="3" t="str">
        <f t="shared" si="22"/>
        <v>U</v>
      </c>
      <c r="W40" s="3" t="str">
        <f t="shared" si="23"/>
        <v>U</v>
      </c>
      <c r="X40" s="3" t="str">
        <f t="shared" si="24"/>
        <v>O</v>
      </c>
      <c r="Z40" s="3">
        <v>54</v>
      </c>
      <c r="AB40" s="3" t="str">
        <f t="shared" si="8"/>
        <v>MIN/MIA</v>
      </c>
      <c r="AC40" s="3">
        <f t="shared" si="4"/>
        <v>2</v>
      </c>
      <c r="AD40" s="3">
        <f t="shared" si="5"/>
        <v>2</v>
      </c>
    </row>
    <row r="41" spans="1:30" ht="17.100000000000001" x14ac:dyDescent="0.45">
      <c r="A41" s="3">
        <v>191028</v>
      </c>
      <c r="B41" s="45">
        <v>0.4375</v>
      </c>
      <c r="C41" s="3" t="s">
        <v>65</v>
      </c>
      <c r="D41" s="3" t="s">
        <v>66</v>
      </c>
      <c r="E41" s="3">
        <v>30</v>
      </c>
      <c r="F41" s="3">
        <v>33</v>
      </c>
      <c r="G41" s="3">
        <v>24</v>
      </c>
      <c r="H41" s="3">
        <v>33</v>
      </c>
      <c r="J41" s="3">
        <v>28</v>
      </c>
      <c r="K41" s="3">
        <v>34</v>
      </c>
      <c r="L41" s="3">
        <v>18</v>
      </c>
      <c r="M41" s="3">
        <v>21</v>
      </c>
      <c r="O41" s="3">
        <f t="shared" si="15"/>
        <v>120</v>
      </c>
      <c r="P41" s="3">
        <f t="shared" si="16"/>
        <v>101</v>
      </c>
      <c r="Q41" s="3" t="str">
        <f t="shared" si="17"/>
        <v>HW</v>
      </c>
      <c r="R41" s="3" t="str">
        <f t="shared" si="18"/>
        <v>HL</v>
      </c>
      <c r="S41" s="3" t="str">
        <f t="shared" si="19"/>
        <v>HW</v>
      </c>
      <c r="T41" s="3" t="str">
        <f t="shared" si="20"/>
        <v>HW</v>
      </c>
      <c r="U41" s="3" t="str">
        <f t="shared" si="21"/>
        <v>O</v>
      </c>
      <c r="V41" s="3" t="str">
        <f t="shared" si="22"/>
        <v>O</v>
      </c>
      <c r="W41" s="3" t="str">
        <f t="shared" si="23"/>
        <v>U</v>
      </c>
      <c r="X41" s="3" t="str">
        <f t="shared" si="24"/>
        <v>U</v>
      </c>
      <c r="Z41" s="3">
        <v>56</v>
      </c>
      <c r="AB41" s="3" t="str">
        <f t="shared" si="8"/>
        <v>LAL/CHA</v>
      </c>
      <c r="AC41" s="3">
        <f t="shared" si="4"/>
        <v>2</v>
      </c>
      <c r="AD41" s="3">
        <f t="shared" si="5"/>
        <v>2</v>
      </c>
    </row>
    <row r="42" spans="1:30" ht="17.100000000000001" x14ac:dyDescent="0.45">
      <c r="A42" s="3">
        <v>191029</v>
      </c>
      <c r="B42" s="44">
        <v>0.33333333333333331</v>
      </c>
      <c r="C42" s="3" t="s">
        <v>68</v>
      </c>
      <c r="D42" s="3" t="s">
        <v>69</v>
      </c>
      <c r="E42" s="3">
        <v>33</v>
      </c>
      <c r="F42" s="3">
        <v>26</v>
      </c>
      <c r="G42" s="3">
        <v>19</v>
      </c>
      <c r="H42" s="3">
        <v>18</v>
      </c>
      <c r="J42" s="3">
        <v>25</v>
      </c>
      <c r="K42" s="3">
        <v>28</v>
      </c>
      <c r="L42" s="3">
        <v>18</v>
      </c>
      <c r="M42" s="3">
        <v>23</v>
      </c>
      <c r="O42" s="3">
        <f t="shared" ref="O42:O52" si="25">SUM(E42:I42)</f>
        <v>96</v>
      </c>
      <c r="P42" s="3">
        <f t="shared" ref="P42:P52" si="26">SUM(J42:N42)</f>
        <v>94</v>
      </c>
      <c r="Q42" s="3" t="str">
        <f t="shared" ref="Q42:Q52" si="27">IF(E42=J42,"TT",IF(E42&gt;J42,"HW","HL"))</f>
        <v>HW</v>
      </c>
      <c r="R42" s="3" t="str">
        <f t="shared" ref="R42:R52" si="28">IF(F42=K42,"TT",IF(F42&gt;K42,"HW","HL"))</f>
        <v>HL</v>
      </c>
      <c r="S42" s="3" t="str">
        <f t="shared" ref="S42:S52" si="29">IF(G42=L42,"TT",IF(G42&gt;L42,"HW","HL"))</f>
        <v>HW</v>
      </c>
      <c r="T42" s="3" t="str">
        <f t="shared" ref="T42:T52" si="30">IF(H42=M42,"TT",IF(H42&gt;M42,"HW","HL"))</f>
        <v>HL</v>
      </c>
      <c r="U42" s="3" t="str">
        <f t="shared" ref="U42:U52" si="31">IF(SUM(E42,J42)=$Z42,"T",IF(SUM(E42,J42)&gt;$Z42,"O","U"))</f>
        <v>O</v>
      </c>
      <c r="V42" s="3" t="str">
        <f t="shared" ref="V42:V52" si="32">IF(SUM(F42,K42)=$Z42,"T",IF(SUM(F42,K42)&gt;$Z42,"O","U"))</f>
        <v>U</v>
      </c>
      <c r="W42" s="3" t="str">
        <f t="shared" ref="W42:W52" si="33">IF(SUM(G42,L42)=$Z42,"T",IF(SUM(G42,L42)&gt;$Z42,"O","U"))</f>
        <v>U</v>
      </c>
      <c r="X42" s="3" t="str">
        <f t="shared" ref="X42:X52" si="34">IF(SUM(H42,M42)=$Z42,"T",IF(SUM(H42,M42)&gt;$Z42,"O","U"))</f>
        <v>U</v>
      </c>
      <c r="Z42" s="3">
        <v>54.5</v>
      </c>
      <c r="AB42" s="3" t="str">
        <f t="shared" si="8"/>
        <v>DET/IND</v>
      </c>
      <c r="AC42" s="3">
        <f t="shared" ref="AC42:AC105" si="35">COUNTIF(U42:X42,"o")</f>
        <v>1</v>
      </c>
      <c r="AD42" s="3">
        <f t="shared" ref="AD42:AD105" si="36">COUNTIF(U42:X42,"u")</f>
        <v>3</v>
      </c>
    </row>
    <row r="43" spans="1:30" ht="17.100000000000001" x14ac:dyDescent="0.45">
      <c r="A43" s="3">
        <v>191029</v>
      </c>
      <c r="B43" s="44">
        <v>0.33333333333333331</v>
      </c>
      <c r="C43" s="3" t="s">
        <v>70</v>
      </c>
      <c r="D43" s="3" t="s">
        <v>71</v>
      </c>
      <c r="E43" s="3">
        <v>15</v>
      </c>
      <c r="F43" s="3">
        <v>27</v>
      </c>
      <c r="G43" s="3">
        <v>30</v>
      </c>
      <c r="H43" s="3">
        <v>33</v>
      </c>
      <c r="J43" s="3">
        <v>33</v>
      </c>
      <c r="K43" s="3">
        <v>19</v>
      </c>
      <c r="L43" s="3">
        <v>28</v>
      </c>
      <c r="M43" s="3">
        <v>18</v>
      </c>
      <c r="O43" s="3">
        <f t="shared" si="25"/>
        <v>105</v>
      </c>
      <c r="P43" s="3">
        <f t="shared" si="26"/>
        <v>98</v>
      </c>
      <c r="Q43" s="3" t="str">
        <f t="shared" si="27"/>
        <v>HL</v>
      </c>
      <c r="R43" s="3" t="str">
        <f t="shared" si="28"/>
        <v>HW</v>
      </c>
      <c r="S43" s="3" t="str">
        <f t="shared" si="29"/>
        <v>HW</v>
      </c>
      <c r="T43" s="3" t="str">
        <f t="shared" si="30"/>
        <v>HW</v>
      </c>
      <c r="U43" s="3" t="str">
        <f t="shared" si="31"/>
        <v>U</v>
      </c>
      <c r="V43" s="3" t="str">
        <f t="shared" si="32"/>
        <v>U</v>
      </c>
      <c r="W43" s="3" t="str">
        <f t="shared" si="33"/>
        <v>O</v>
      </c>
      <c r="X43" s="3" t="str">
        <f t="shared" si="34"/>
        <v>U</v>
      </c>
      <c r="Z43" s="3">
        <v>54.5</v>
      </c>
      <c r="AB43" s="3" t="str">
        <f t="shared" si="8"/>
        <v>NY/CHI</v>
      </c>
      <c r="AC43" s="3">
        <f t="shared" si="35"/>
        <v>1</v>
      </c>
      <c r="AD43" s="3">
        <f t="shared" si="36"/>
        <v>3</v>
      </c>
    </row>
    <row r="44" spans="1:30" ht="17.100000000000001" x14ac:dyDescent="0.45">
      <c r="A44" s="3">
        <v>191029</v>
      </c>
      <c r="B44" s="44">
        <v>0.35416666666666669</v>
      </c>
      <c r="C44" s="3" t="s">
        <v>73</v>
      </c>
      <c r="D44" s="3" t="s">
        <v>72</v>
      </c>
      <c r="E44" s="3">
        <v>40</v>
      </c>
      <c r="F44" s="3">
        <v>25</v>
      </c>
      <c r="G44" s="3">
        <v>18</v>
      </c>
      <c r="H44" s="3">
        <v>20</v>
      </c>
      <c r="J44" s="3">
        <v>31</v>
      </c>
      <c r="K44" s="3">
        <v>32</v>
      </c>
      <c r="L44" s="3">
        <v>19</v>
      </c>
      <c r="M44" s="3">
        <v>23</v>
      </c>
      <c r="O44" s="3">
        <f t="shared" si="25"/>
        <v>103</v>
      </c>
      <c r="P44" s="3">
        <f t="shared" si="26"/>
        <v>105</v>
      </c>
      <c r="Q44" s="3" t="str">
        <f t="shared" si="27"/>
        <v>HW</v>
      </c>
      <c r="R44" s="3" t="str">
        <f t="shared" si="28"/>
        <v>HL</v>
      </c>
      <c r="S44" s="3" t="str">
        <f t="shared" si="29"/>
        <v>HL</v>
      </c>
      <c r="T44" s="3" t="str">
        <f t="shared" si="30"/>
        <v>HL</v>
      </c>
      <c r="U44" s="3" t="str">
        <f t="shared" si="31"/>
        <v>O</v>
      </c>
      <c r="V44" s="3" t="str">
        <f t="shared" si="32"/>
        <v>U</v>
      </c>
      <c r="W44" s="3" t="str">
        <f t="shared" si="33"/>
        <v>U</v>
      </c>
      <c r="X44" s="3" t="str">
        <f t="shared" si="34"/>
        <v>U</v>
      </c>
      <c r="Z44" s="3">
        <v>57.5</v>
      </c>
      <c r="AB44" s="3" t="str">
        <f t="shared" si="8"/>
        <v>ATL/PHI</v>
      </c>
      <c r="AC44" s="3">
        <f t="shared" si="35"/>
        <v>1</v>
      </c>
      <c r="AD44" s="3">
        <f t="shared" si="36"/>
        <v>3</v>
      </c>
    </row>
    <row r="45" spans="1:30" ht="17.100000000000001" x14ac:dyDescent="0.45">
      <c r="A45" s="3">
        <v>191029</v>
      </c>
      <c r="B45" s="44">
        <v>0.35416666666666669</v>
      </c>
      <c r="C45" s="3" t="s">
        <v>74</v>
      </c>
      <c r="D45" s="3" t="s">
        <v>75</v>
      </c>
      <c r="E45" s="3">
        <v>31</v>
      </c>
      <c r="F45" s="3">
        <v>20</v>
      </c>
      <c r="G45" s="3">
        <v>27</v>
      </c>
      <c r="H45" s="3">
        <v>26</v>
      </c>
      <c r="J45" s="3">
        <v>22</v>
      </c>
      <c r="K45" s="3">
        <v>24</v>
      </c>
      <c r="L45" s="3">
        <v>21</v>
      </c>
      <c r="M45" s="3">
        <v>28</v>
      </c>
      <c r="O45" s="3">
        <f t="shared" si="25"/>
        <v>104</v>
      </c>
      <c r="P45" s="3">
        <f t="shared" si="26"/>
        <v>95</v>
      </c>
      <c r="Q45" s="3" t="str">
        <f t="shared" si="27"/>
        <v>HW</v>
      </c>
      <c r="R45" s="3" t="str">
        <f t="shared" si="28"/>
        <v>HL</v>
      </c>
      <c r="S45" s="3" t="str">
        <f t="shared" si="29"/>
        <v>HW</v>
      </c>
      <c r="T45" s="3" t="str">
        <f t="shared" si="30"/>
        <v>HL</v>
      </c>
      <c r="U45" s="3" t="str">
        <f t="shared" si="31"/>
        <v>U</v>
      </c>
      <c r="V45" s="3" t="str">
        <f t="shared" si="32"/>
        <v>U</v>
      </c>
      <c r="W45" s="3" t="str">
        <f t="shared" si="33"/>
        <v>U</v>
      </c>
      <c r="X45" s="3" t="str">
        <f t="shared" si="34"/>
        <v>T</v>
      </c>
      <c r="Z45" s="3">
        <v>54</v>
      </c>
      <c r="AB45" s="3" t="str">
        <f t="shared" si="8"/>
        <v>TOR/ORL</v>
      </c>
      <c r="AC45" s="3">
        <f t="shared" si="35"/>
        <v>0</v>
      </c>
      <c r="AD45" s="3">
        <f t="shared" si="36"/>
        <v>3</v>
      </c>
    </row>
    <row r="46" spans="1:30" ht="17.100000000000001" x14ac:dyDescent="0.45">
      <c r="A46" s="3">
        <v>191029</v>
      </c>
      <c r="B46" s="44">
        <v>0.375</v>
      </c>
      <c r="C46" s="3" t="s">
        <v>76</v>
      </c>
      <c r="D46" s="6" t="s">
        <v>77</v>
      </c>
      <c r="E46" s="3">
        <v>23</v>
      </c>
      <c r="F46" s="3">
        <v>32</v>
      </c>
      <c r="G46" s="3">
        <v>24</v>
      </c>
      <c r="H46" s="3">
        <v>44</v>
      </c>
      <c r="J46" s="3">
        <v>27</v>
      </c>
      <c r="K46" s="3">
        <v>45</v>
      </c>
      <c r="L46" s="3">
        <v>31</v>
      </c>
      <c r="M46" s="3">
        <v>31</v>
      </c>
      <c r="O46" s="3">
        <f t="shared" si="25"/>
        <v>123</v>
      </c>
      <c r="P46" s="3">
        <f t="shared" si="26"/>
        <v>134</v>
      </c>
      <c r="Q46" s="3" t="str">
        <f t="shared" si="27"/>
        <v>HL</v>
      </c>
      <c r="R46" s="3" t="str">
        <f t="shared" si="28"/>
        <v>HL</v>
      </c>
      <c r="S46" s="3" t="str">
        <f t="shared" si="29"/>
        <v>HL</v>
      </c>
      <c r="T46" s="3" t="str">
        <f t="shared" si="30"/>
        <v>HW</v>
      </c>
      <c r="U46" s="3" t="str">
        <f t="shared" si="31"/>
        <v>U</v>
      </c>
      <c r="V46" s="3" t="str">
        <f t="shared" si="32"/>
        <v>O</v>
      </c>
      <c r="W46" s="3" t="str">
        <f t="shared" si="33"/>
        <v>U</v>
      </c>
      <c r="X46" s="3" t="str">
        <f t="shared" si="34"/>
        <v>O</v>
      </c>
      <c r="Z46" s="3">
        <v>61</v>
      </c>
      <c r="AB46" s="3" t="str">
        <f t="shared" si="8"/>
        <v>NO/GS</v>
      </c>
      <c r="AC46" s="3">
        <f t="shared" si="35"/>
        <v>2</v>
      </c>
      <c r="AD46" s="3">
        <f t="shared" si="36"/>
        <v>2</v>
      </c>
    </row>
    <row r="47" spans="1:30" ht="17.100000000000001" x14ac:dyDescent="0.45">
      <c r="A47" s="3">
        <v>191029</v>
      </c>
      <c r="B47" s="44">
        <v>0.375</v>
      </c>
      <c r="C47" s="3" t="s">
        <v>78</v>
      </c>
      <c r="D47" s="6" t="s">
        <v>79</v>
      </c>
      <c r="E47" s="3">
        <v>22</v>
      </c>
      <c r="F47" s="3">
        <v>30</v>
      </c>
      <c r="G47" s="3">
        <v>39</v>
      </c>
      <c r="H47" s="3">
        <v>25</v>
      </c>
      <c r="J47" s="3">
        <v>35</v>
      </c>
      <c r="K47" s="3">
        <v>27</v>
      </c>
      <c r="L47" s="3">
        <v>18</v>
      </c>
      <c r="M47" s="3">
        <v>32</v>
      </c>
      <c r="O47" s="3">
        <f t="shared" si="25"/>
        <v>116</v>
      </c>
      <c r="P47" s="3">
        <f t="shared" si="26"/>
        <v>112</v>
      </c>
      <c r="Q47" s="3" t="str">
        <f t="shared" si="27"/>
        <v>HL</v>
      </c>
      <c r="R47" s="3" t="str">
        <f t="shared" si="28"/>
        <v>HW</v>
      </c>
      <c r="S47" s="3" t="str">
        <f t="shared" si="29"/>
        <v>HW</v>
      </c>
      <c r="T47" s="3" t="str">
        <f t="shared" si="30"/>
        <v>HL</v>
      </c>
      <c r="U47" s="3" t="str">
        <f t="shared" si="31"/>
        <v>U</v>
      </c>
      <c r="V47" s="3" t="str">
        <f t="shared" si="32"/>
        <v>U</v>
      </c>
      <c r="W47" s="3" t="str">
        <f t="shared" si="33"/>
        <v>U</v>
      </c>
      <c r="X47" s="3" t="str">
        <f t="shared" si="34"/>
        <v>U</v>
      </c>
      <c r="Z47" s="3">
        <v>58.5</v>
      </c>
      <c r="AB47" s="3" t="str">
        <f t="shared" si="8"/>
        <v>HOU/OKC</v>
      </c>
      <c r="AC47" s="3">
        <f t="shared" si="35"/>
        <v>0</v>
      </c>
      <c r="AD47" s="3">
        <f t="shared" si="36"/>
        <v>4</v>
      </c>
    </row>
    <row r="48" spans="1:30" ht="17.100000000000001" x14ac:dyDescent="0.45">
      <c r="A48" s="3">
        <v>191029</v>
      </c>
      <c r="B48" s="44">
        <v>0.375</v>
      </c>
      <c r="C48" s="3" t="s">
        <v>80</v>
      </c>
      <c r="D48" s="3" t="s">
        <v>81</v>
      </c>
      <c r="E48" s="3">
        <v>30</v>
      </c>
      <c r="F48" s="3">
        <v>29</v>
      </c>
      <c r="G48" s="3">
        <v>32</v>
      </c>
      <c r="H48" s="3">
        <v>38</v>
      </c>
      <c r="J48" s="3">
        <v>31</v>
      </c>
      <c r="K48" s="3">
        <v>21</v>
      </c>
      <c r="L48" s="3">
        <v>28</v>
      </c>
      <c r="M48" s="3">
        <v>32</v>
      </c>
      <c r="O48" s="3">
        <f t="shared" si="25"/>
        <v>129</v>
      </c>
      <c r="P48" s="3">
        <f t="shared" si="26"/>
        <v>112</v>
      </c>
      <c r="Q48" s="3" t="str">
        <f t="shared" si="27"/>
        <v>HL</v>
      </c>
      <c r="R48" s="3" t="str">
        <f t="shared" si="28"/>
        <v>HW</v>
      </c>
      <c r="S48" s="3" t="str">
        <f t="shared" si="29"/>
        <v>HW</v>
      </c>
      <c r="T48" s="3" t="str">
        <f t="shared" si="30"/>
        <v>HW</v>
      </c>
      <c r="U48" s="3" t="str">
        <f t="shared" si="31"/>
        <v>O</v>
      </c>
      <c r="V48" s="3" t="str">
        <f t="shared" si="32"/>
        <v>U</v>
      </c>
      <c r="W48" s="3" t="str">
        <f t="shared" si="33"/>
        <v>O</v>
      </c>
      <c r="X48" s="3" t="str">
        <f t="shared" si="34"/>
        <v>O</v>
      </c>
      <c r="Z48" s="3">
        <v>55</v>
      </c>
      <c r="AB48" s="3" t="str">
        <f t="shared" si="8"/>
        <v>MIL/CLE</v>
      </c>
      <c r="AC48" s="3">
        <f t="shared" si="35"/>
        <v>3</v>
      </c>
      <c r="AD48" s="3">
        <f t="shared" si="36"/>
        <v>1</v>
      </c>
    </row>
    <row r="49" spans="1:30" ht="17.100000000000001" x14ac:dyDescent="0.45">
      <c r="A49" s="3">
        <v>191029</v>
      </c>
      <c r="B49" s="44">
        <v>0.39583333333333331</v>
      </c>
      <c r="C49" s="3" t="s">
        <v>82</v>
      </c>
      <c r="D49" s="6" t="s">
        <v>83</v>
      </c>
      <c r="E49" s="3">
        <v>19</v>
      </c>
      <c r="F49" s="3">
        <v>26</v>
      </c>
      <c r="G49" s="3">
        <v>37</v>
      </c>
      <c r="H49" s="3">
        <v>31</v>
      </c>
      <c r="J49" s="3">
        <v>33</v>
      </c>
      <c r="K49" s="3">
        <v>18</v>
      </c>
      <c r="L49" s="3">
        <v>20</v>
      </c>
      <c r="M49" s="3">
        <v>39</v>
      </c>
      <c r="O49" s="3">
        <f t="shared" si="25"/>
        <v>113</v>
      </c>
      <c r="P49" s="3">
        <f t="shared" si="26"/>
        <v>110</v>
      </c>
      <c r="Q49" s="3" t="str">
        <f t="shared" si="27"/>
        <v>HL</v>
      </c>
      <c r="R49" s="3" t="str">
        <f t="shared" si="28"/>
        <v>HW</v>
      </c>
      <c r="S49" s="3" t="str">
        <f t="shared" si="29"/>
        <v>HW</v>
      </c>
      <c r="T49" s="3" t="str">
        <f t="shared" si="30"/>
        <v>HL</v>
      </c>
      <c r="U49" s="3" t="str">
        <f t="shared" si="31"/>
        <v>U</v>
      </c>
      <c r="V49" s="3" t="str">
        <f t="shared" si="32"/>
        <v>U</v>
      </c>
      <c r="W49" s="3" t="str">
        <f t="shared" si="33"/>
        <v>O</v>
      </c>
      <c r="X49" s="3" t="str">
        <f t="shared" si="34"/>
        <v>O</v>
      </c>
      <c r="Z49" s="3">
        <v>54</v>
      </c>
      <c r="AB49" s="3" t="str">
        <f t="shared" si="8"/>
        <v>SAS/POR</v>
      </c>
      <c r="AC49" s="3">
        <f t="shared" si="35"/>
        <v>2</v>
      </c>
      <c r="AD49" s="3">
        <f t="shared" si="36"/>
        <v>2</v>
      </c>
    </row>
    <row r="50" spans="1:30" ht="17.100000000000001" x14ac:dyDescent="0.45">
      <c r="A50" s="3">
        <v>191029</v>
      </c>
      <c r="B50" s="47">
        <v>0.45833333333333331</v>
      </c>
      <c r="C50" s="3" t="s">
        <v>84</v>
      </c>
      <c r="D50" s="3" t="s">
        <v>85</v>
      </c>
      <c r="E50" s="3">
        <v>21</v>
      </c>
      <c r="F50" s="3">
        <v>18</v>
      </c>
      <c r="G50" s="3">
        <v>31</v>
      </c>
      <c r="H50" s="3">
        <v>25</v>
      </c>
      <c r="J50" s="3">
        <v>28</v>
      </c>
      <c r="K50" s="3">
        <v>18</v>
      </c>
      <c r="L50" s="3">
        <v>24</v>
      </c>
      <c r="M50" s="3">
        <v>26</v>
      </c>
      <c r="O50" s="3">
        <f t="shared" si="25"/>
        <v>95</v>
      </c>
      <c r="P50" s="3">
        <f t="shared" si="26"/>
        <v>96</v>
      </c>
      <c r="Q50" s="3" t="str">
        <f t="shared" si="27"/>
        <v>HL</v>
      </c>
      <c r="R50" s="3" t="str">
        <f t="shared" si="28"/>
        <v>TT</v>
      </c>
      <c r="S50" s="3" t="str">
        <f t="shared" si="29"/>
        <v>HW</v>
      </c>
      <c r="T50" s="3" t="str">
        <f t="shared" si="30"/>
        <v>HL</v>
      </c>
      <c r="U50" s="3" t="str">
        <f t="shared" si="31"/>
        <v>U</v>
      </c>
      <c r="V50" s="3" t="str">
        <f t="shared" si="32"/>
        <v>U</v>
      </c>
      <c r="W50" s="3" t="str">
        <f t="shared" si="33"/>
        <v>O</v>
      </c>
      <c r="X50" s="3" t="str">
        <f t="shared" si="34"/>
        <v>U</v>
      </c>
      <c r="Z50" s="3">
        <v>52</v>
      </c>
      <c r="AB50" s="3" t="str">
        <f t="shared" si="8"/>
        <v>PHO/UTA</v>
      </c>
      <c r="AC50" s="3">
        <f t="shared" si="35"/>
        <v>1</v>
      </c>
      <c r="AD50" s="3">
        <f t="shared" si="36"/>
        <v>3</v>
      </c>
    </row>
    <row r="51" spans="1:30" ht="17.100000000000001" x14ac:dyDescent="0.45">
      <c r="A51" s="3">
        <v>191029</v>
      </c>
      <c r="B51" s="45">
        <v>0.45833333333333331</v>
      </c>
      <c r="C51" s="3" t="s">
        <v>86</v>
      </c>
      <c r="D51" s="3" t="s">
        <v>87</v>
      </c>
      <c r="E51" s="3">
        <v>28</v>
      </c>
      <c r="F51" s="3">
        <v>25</v>
      </c>
      <c r="G51" s="3">
        <v>17</v>
      </c>
      <c r="H51" s="3">
        <v>24</v>
      </c>
      <c r="J51" s="3">
        <v>21</v>
      </c>
      <c r="K51" s="3">
        <v>26</v>
      </c>
      <c r="L51" s="3">
        <v>30</v>
      </c>
      <c r="M51" s="3">
        <v>24</v>
      </c>
      <c r="O51" s="3">
        <f t="shared" si="25"/>
        <v>94</v>
      </c>
      <c r="P51" s="3">
        <f t="shared" si="26"/>
        <v>101</v>
      </c>
      <c r="Q51" s="3" t="str">
        <f t="shared" si="27"/>
        <v>HW</v>
      </c>
      <c r="R51" s="3" t="str">
        <f t="shared" si="28"/>
        <v>HL</v>
      </c>
      <c r="S51" s="3" t="str">
        <f t="shared" si="29"/>
        <v>HL</v>
      </c>
      <c r="T51" s="3" t="str">
        <f t="shared" si="30"/>
        <v>TT</v>
      </c>
      <c r="U51" s="3" t="str">
        <f t="shared" si="31"/>
        <v>U</v>
      </c>
      <c r="V51" s="3" t="str">
        <f t="shared" si="32"/>
        <v>U</v>
      </c>
      <c r="W51" s="3" t="str">
        <f t="shared" si="33"/>
        <v>U</v>
      </c>
      <c r="X51" s="3" t="str">
        <f t="shared" si="34"/>
        <v>U</v>
      </c>
      <c r="Z51" s="3">
        <v>56</v>
      </c>
      <c r="AB51" s="3" t="str">
        <f t="shared" si="8"/>
        <v>SAC/DEN</v>
      </c>
      <c r="AC51" s="3">
        <f t="shared" si="35"/>
        <v>0</v>
      </c>
      <c r="AD51" s="3">
        <f t="shared" si="36"/>
        <v>4</v>
      </c>
    </row>
    <row r="52" spans="1:30" ht="17.100000000000001" x14ac:dyDescent="0.45">
      <c r="A52" s="3">
        <v>191029</v>
      </c>
      <c r="B52" s="44">
        <v>0.47916666666666669</v>
      </c>
      <c r="C52" s="3" t="s">
        <v>88</v>
      </c>
      <c r="D52" s="6" t="s">
        <v>89</v>
      </c>
      <c r="E52" s="3">
        <v>29</v>
      </c>
      <c r="F52" s="3">
        <v>28</v>
      </c>
      <c r="G52" s="3">
        <v>29</v>
      </c>
      <c r="H52" s="3">
        <v>25</v>
      </c>
      <c r="J52" s="3">
        <v>28</v>
      </c>
      <c r="K52" s="3">
        <v>26</v>
      </c>
      <c r="L52" s="3">
        <v>20</v>
      </c>
      <c r="M52" s="3">
        <v>22</v>
      </c>
      <c r="O52" s="3">
        <f t="shared" si="25"/>
        <v>111</v>
      </c>
      <c r="P52" s="3">
        <f t="shared" si="26"/>
        <v>96</v>
      </c>
      <c r="Q52" s="3" t="str">
        <f t="shared" si="27"/>
        <v>HW</v>
      </c>
      <c r="R52" s="3" t="str">
        <f t="shared" si="28"/>
        <v>HW</v>
      </c>
      <c r="S52" s="3" t="str">
        <f t="shared" si="29"/>
        <v>HW</v>
      </c>
      <c r="T52" s="3" t="str">
        <f t="shared" si="30"/>
        <v>HW</v>
      </c>
      <c r="U52" s="3" t="str">
        <f t="shared" si="31"/>
        <v>U</v>
      </c>
      <c r="V52" s="3" t="str">
        <f t="shared" si="32"/>
        <v>U</v>
      </c>
      <c r="W52" s="3" t="str">
        <f t="shared" si="33"/>
        <v>U</v>
      </c>
      <c r="X52" s="3" t="str">
        <f t="shared" si="34"/>
        <v>U</v>
      </c>
      <c r="Z52" s="3">
        <v>58.5</v>
      </c>
      <c r="AB52" s="3" t="str">
        <f t="shared" si="8"/>
        <v>LAC/CHA</v>
      </c>
      <c r="AC52" s="3">
        <f t="shared" si="35"/>
        <v>0</v>
      </c>
      <c r="AD52" s="3">
        <f t="shared" si="36"/>
        <v>4</v>
      </c>
    </row>
    <row r="53" spans="1:30" ht="17.100000000000001" x14ac:dyDescent="0.45">
      <c r="A53" s="3">
        <v>191030</v>
      </c>
      <c r="B53" s="44">
        <v>0.35416666666666669</v>
      </c>
      <c r="C53" s="3" t="s">
        <v>37</v>
      </c>
      <c r="D53" s="3" t="s">
        <v>50</v>
      </c>
      <c r="E53" s="3">
        <v>29</v>
      </c>
      <c r="F53" s="3">
        <v>30</v>
      </c>
      <c r="G53" s="3">
        <v>29</v>
      </c>
      <c r="H53" s="3">
        <v>24</v>
      </c>
      <c r="J53" s="3">
        <v>26</v>
      </c>
      <c r="K53" s="3">
        <v>23</v>
      </c>
      <c r="L53" s="3">
        <v>21</v>
      </c>
      <c r="M53" s="3">
        <v>27</v>
      </c>
      <c r="O53" s="3">
        <f t="shared" ref="O53:O116" si="37">SUM(E53:I53)</f>
        <v>112</v>
      </c>
      <c r="P53" s="3">
        <f t="shared" ref="P53:P116" si="38">SUM(J53:N53)</f>
        <v>97</v>
      </c>
      <c r="Q53" s="3" t="str">
        <f t="shared" ref="Q53:Q116" si="39">IF(E53=J53,"TT",IF(E53&gt;J53,"HW","HL"))</f>
        <v>HW</v>
      </c>
      <c r="R53" s="3" t="str">
        <f t="shared" ref="R53:R116" si="40">IF(F53=K53,"TT",IF(F53&gt;K53,"HW","HL"))</f>
        <v>HW</v>
      </c>
      <c r="S53" s="3" t="str">
        <f t="shared" ref="S53:S116" si="41">IF(G53=L53,"TT",IF(G53&gt;L53,"HW","HL"))</f>
        <v>HW</v>
      </c>
      <c r="T53" s="3" t="str">
        <f t="shared" ref="T53:T116" si="42">IF(H53=M53,"TT",IF(H53&gt;M53,"HW","HL"))</f>
        <v>HL</v>
      </c>
      <c r="U53" s="3" t="str">
        <f t="shared" ref="U53:U116" si="43">IF(SUM(E53,J53)=$Z53,"T",IF(SUM(E53,J53)&gt;$Z53,"O","U"))</f>
        <v>U</v>
      </c>
      <c r="V53" s="3" t="str">
        <f t="shared" ref="V53:V116" si="44">IF(SUM(F53,K53)=$Z53,"T",IF(SUM(F53,K53)&gt;$Z53,"O","U"))</f>
        <v>U</v>
      </c>
      <c r="W53" s="3" t="str">
        <f t="shared" ref="W53:W116" si="45">IF(SUM(G53,L53)=$Z53,"T",IF(SUM(G53,L53)&gt;$Z53,"O","U"))</f>
        <v>U</v>
      </c>
      <c r="X53" s="3" t="str">
        <f t="shared" ref="X53:X116" si="46">IF(SUM(H53,M53)=$Z53,"T",IF(SUM(H53,M53)&gt;$Z53,"O","U"))</f>
        <v>U</v>
      </c>
      <c r="Z53" s="3">
        <v>57.5</v>
      </c>
      <c r="AB53" s="3" t="str">
        <f t="shared" si="8"/>
        <v>MIA/ATL</v>
      </c>
      <c r="AC53" s="3">
        <f t="shared" si="35"/>
        <v>0</v>
      </c>
      <c r="AD53" s="3">
        <f t="shared" si="36"/>
        <v>4</v>
      </c>
    </row>
    <row r="54" spans="1:30" ht="17.100000000000001" x14ac:dyDescent="0.45">
      <c r="A54" s="3">
        <v>191030</v>
      </c>
      <c r="B54" s="44">
        <v>0.41666666666666669</v>
      </c>
      <c r="C54" s="3" t="s">
        <v>46</v>
      </c>
      <c r="D54" s="3" t="s">
        <v>33</v>
      </c>
      <c r="E54" s="3">
        <v>31</v>
      </c>
      <c r="F54" s="3">
        <v>30</v>
      </c>
      <c r="G54" s="3">
        <v>27</v>
      </c>
      <c r="H54" s="3">
        <v>18</v>
      </c>
      <c r="J54" s="3">
        <v>27</v>
      </c>
      <c r="K54" s="3">
        <v>33</v>
      </c>
      <c r="L54" s="3">
        <v>23</v>
      </c>
      <c r="M54" s="3">
        <v>26</v>
      </c>
      <c r="O54" s="3">
        <f t="shared" si="37"/>
        <v>106</v>
      </c>
      <c r="P54" s="3">
        <f t="shared" si="38"/>
        <v>109</v>
      </c>
      <c r="Q54" s="3" t="str">
        <f t="shared" si="39"/>
        <v>HW</v>
      </c>
      <c r="R54" s="3" t="str">
        <f t="shared" si="40"/>
        <v>HL</v>
      </c>
      <c r="S54" s="3" t="str">
        <f t="shared" si="41"/>
        <v>HW</v>
      </c>
      <c r="T54" s="3" t="str">
        <f t="shared" si="42"/>
        <v>HL</v>
      </c>
      <c r="U54" s="3" t="str">
        <f t="shared" si="43"/>
        <v>O</v>
      </c>
      <c r="V54" s="3" t="str">
        <f t="shared" si="44"/>
        <v>O</v>
      </c>
      <c r="W54" s="3" t="str">
        <f t="shared" si="45"/>
        <v>U</v>
      </c>
      <c r="X54" s="3" t="str">
        <f t="shared" si="46"/>
        <v>U</v>
      </c>
      <c r="Z54" s="3">
        <v>55</v>
      </c>
      <c r="AB54" s="3" t="str">
        <f t="shared" si="8"/>
        <v>DEN/DAL</v>
      </c>
      <c r="AC54" s="3">
        <f t="shared" si="35"/>
        <v>2</v>
      </c>
      <c r="AD54" s="3">
        <f t="shared" si="36"/>
        <v>2</v>
      </c>
    </row>
    <row r="55" spans="1:30" ht="17.100000000000001" x14ac:dyDescent="0.45">
      <c r="A55" s="3">
        <v>191030</v>
      </c>
      <c r="B55" s="47">
        <v>0.47916666666666669</v>
      </c>
      <c r="C55" s="3" t="s">
        <v>26</v>
      </c>
      <c r="D55" s="3" t="s">
        <v>38</v>
      </c>
      <c r="E55" s="3">
        <v>27</v>
      </c>
      <c r="F55" s="3">
        <v>22</v>
      </c>
      <c r="G55" s="3">
        <v>39</v>
      </c>
      <c r="H55" s="3">
        <v>32</v>
      </c>
      <c r="J55" s="3">
        <v>32</v>
      </c>
      <c r="K55" s="3">
        <v>15</v>
      </c>
      <c r="L55" s="3">
        <v>20</v>
      </c>
      <c r="M55" s="3">
        <v>24</v>
      </c>
      <c r="O55" s="3">
        <f t="shared" si="37"/>
        <v>120</v>
      </c>
      <c r="P55" s="3">
        <f t="shared" si="38"/>
        <v>91</v>
      </c>
      <c r="Q55" s="3" t="str">
        <f t="shared" si="39"/>
        <v>HL</v>
      </c>
      <c r="R55" s="3" t="str">
        <f t="shared" si="40"/>
        <v>HW</v>
      </c>
      <c r="S55" s="3" t="str">
        <f t="shared" si="41"/>
        <v>HW</v>
      </c>
      <c r="T55" s="3" t="str">
        <f t="shared" si="42"/>
        <v>HW</v>
      </c>
      <c r="U55" s="3" t="str">
        <f t="shared" si="43"/>
        <v>O</v>
      </c>
      <c r="V55" s="3" t="str">
        <f t="shared" si="44"/>
        <v>U</v>
      </c>
      <c r="W55" s="3" t="str">
        <f t="shared" si="45"/>
        <v>O</v>
      </c>
      <c r="X55" s="3" t="str">
        <f t="shared" si="46"/>
        <v>O</v>
      </c>
      <c r="Z55" s="3">
        <v>55</v>
      </c>
      <c r="AB55" s="3" t="str">
        <f t="shared" si="8"/>
        <v>LAL/MEM</v>
      </c>
      <c r="AC55" s="3">
        <f t="shared" si="35"/>
        <v>3</v>
      </c>
      <c r="AD55" s="3">
        <f t="shared" si="36"/>
        <v>1</v>
      </c>
    </row>
    <row r="56" spans="1:30" ht="17.100000000000001" x14ac:dyDescent="0.45">
      <c r="A56" s="3">
        <v>191031</v>
      </c>
      <c r="B56" s="44">
        <v>0.33333333333333331</v>
      </c>
      <c r="C56" s="3" t="s">
        <v>40</v>
      </c>
      <c r="D56" s="3" t="s">
        <v>32</v>
      </c>
      <c r="E56" s="3">
        <v>25</v>
      </c>
      <c r="F56" s="3">
        <v>25</v>
      </c>
      <c r="G56" s="3">
        <v>30</v>
      </c>
      <c r="H56" s="3">
        <v>37</v>
      </c>
      <c r="J56" s="3">
        <v>26</v>
      </c>
      <c r="K56" s="3">
        <v>27</v>
      </c>
      <c r="L56" s="3">
        <v>29</v>
      </c>
      <c r="M56" s="3">
        <v>29</v>
      </c>
      <c r="O56" s="3">
        <f t="shared" si="37"/>
        <v>117</v>
      </c>
      <c r="P56" s="3">
        <f t="shared" si="38"/>
        <v>111</v>
      </c>
      <c r="Q56" s="3" t="str">
        <f t="shared" si="39"/>
        <v>HL</v>
      </c>
      <c r="R56" s="3" t="str">
        <f t="shared" si="40"/>
        <v>HL</v>
      </c>
      <c r="S56" s="3" t="str">
        <f t="shared" si="41"/>
        <v>HW</v>
      </c>
      <c r="T56" s="3" t="str">
        <f t="shared" si="42"/>
        <v>HW</v>
      </c>
      <c r="U56" s="3" t="str">
        <f t="shared" si="43"/>
        <v>U</v>
      </c>
      <c r="V56" s="3" t="str">
        <f t="shared" si="44"/>
        <v>U</v>
      </c>
      <c r="W56" s="3" t="str">
        <f t="shared" si="45"/>
        <v>O</v>
      </c>
      <c r="X56" s="3" t="str">
        <f t="shared" si="46"/>
        <v>O</v>
      </c>
      <c r="Z56" s="3">
        <v>53.5</v>
      </c>
      <c r="AB56" s="3" t="str">
        <f t="shared" si="8"/>
        <v>CLE/CHI</v>
      </c>
      <c r="AC56" s="3">
        <f t="shared" si="35"/>
        <v>2</v>
      </c>
      <c r="AD56" s="3">
        <f t="shared" si="36"/>
        <v>2</v>
      </c>
    </row>
    <row r="57" spans="1:30" ht="17.100000000000001" x14ac:dyDescent="0.45">
      <c r="A57" s="3">
        <v>191031</v>
      </c>
      <c r="B57" s="44">
        <v>0.33333333333333331</v>
      </c>
      <c r="C57" s="3" t="s">
        <v>39</v>
      </c>
      <c r="D57" s="3" t="s">
        <v>47</v>
      </c>
      <c r="E57" s="3">
        <v>22</v>
      </c>
      <c r="F57" s="3">
        <v>20</v>
      </c>
      <c r="G57" s="3">
        <v>30</v>
      </c>
      <c r="H57" s="3">
        <v>23</v>
      </c>
      <c r="J57" s="3">
        <v>25</v>
      </c>
      <c r="K57" s="3">
        <v>19</v>
      </c>
      <c r="L57" s="3">
        <v>23</v>
      </c>
      <c r="M57" s="3">
        <v>16</v>
      </c>
      <c r="O57" s="3">
        <f t="shared" si="37"/>
        <v>95</v>
      </c>
      <c r="P57" s="3">
        <f t="shared" si="38"/>
        <v>83</v>
      </c>
      <c r="Q57" s="3" t="str">
        <f t="shared" si="39"/>
        <v>HL</v>
      </c>
      <c r="R57" s="3" t="str">
        <f t="shared" si="40"/>
        <v>HW</v>
      </c>
      <c r="S57" s="3" t="str">
        <f t="shared" si="41"/>
        <v>HW</v>
      </c>
      <c r="T57" s="3" t="str">
        <f t="shared" si="42"/>
        <v>HW</v>
      </c>
      <c r="U57" s="3" t="str">
        <f t="shared" si="43"/>
        <v>U</v>
      </c>
      <c r="V57" s="3" t="str">
        <f t="shared" si="44"/>
        <v>U</v>
      </c>
      <c r="W57" s="3" t="str">
        <f t="shared" si="45"/>
        <v>U</v>
      </c>
      <c r="X57" s="3" t="str">
        <f t="shared" si="46"/>
        <v>U</v>
      </c>
      <c r="Z57" s="3">
        <v>54.5</v>
      </c>
      <c r="AB57" s="3" t="str">
        <f t="shared" si="8"/>
        <v>ORL/NYK</v>
      </c>
      <c r="AC57" s="3">
        <f t="shared" si="35"/>
        <v>0</v>
      </c>
      <c r="AD57" s="3">
        <f t="shared" si="36"/>
        <v>4</v>
      </c>
    </row>
    <row r="58" spans="1:30" ht="17.100000000000001" x14ac:dyDescent="0.45">
      <c r="A58" s="3">
        <v>191031</v>
      </c>
      <c r="B58" s="44">
        <v>0.33333333333333331</v>
      </c>
      <c r="C58" s="3" t="s">
        <v>41</v>
      </c>
      <c r="D58" s="3" t="s">
        <v>29</v>
      </c>
      <c r="E58" s="3">
        <v>32</v>
      </c>
      <c r="F58" s="3">
        <v>30</v>
      </c>
      <c r="G58" s="3">
        <v>30</v>
      </c>
      <c r="H58" s="3">
        <v>25</v>
      </c>
      <c r="J58" s="3">
        <v>24</v>
      </c>
      <c r="K58" s="3">
        <v>19</v>
      </c>
      <c r="L58" s="3">
        <v>35</v>
      </c>
      <c r="M58" s="3">
        <v>17</v>
      </c>
      <c r="O58" s="3">
        <f t="shared" si="37"/>
        <v>117</v>
      </c>
      <c r="P58" s="3">
        <f t="shared" si="38"/>
        <v>95</v>
      </c>
      <c r="Q58" s="3" t="str">
        <f t="shared" si="39"/>
        <v>HW</v>
      </c>
      <c r="R58" s="3" t="str">
        <f t="shared" si="40"/>
        <v>HW</v>
      </c>
      <c r="S58" s="3" t="str">
        <f t="shared" si="41"/>
        <v>HL</v>
      </c>
      <c r="T58" s="3" t="str">
        <f t="shared" si="42"/>
        <v>HW</v>
      </c>
      <c r="U58" s="3" t="str">
        <f t="shared" si="43"/>
        <v>U</v>
      </c>
      <c r="V58" s="3" t="str">
        <f t="shared" si="44"/>
        <v>U</v>
      </c>
      <c r="W58" s="3" t="str">
        <f t="shared" si="45"/>
        <v>O</v>
      </c>
      <c r="X58" s="3" t="str">
        <f t="shared" si="46"/>
        <v>U</v>
      </c>
      <c r="Z58" s="3">
        <v>57</v>
      </c>
      <c r="AB58" s="3" t="str">
        <f t="shared" si="8"/>
        <v>PHI/MIN</v>
      </c>
      <c r="AC58" s="3">
        <f t="shared" si="35"/>
        <v>1</v>
      </c>
      <c r="AD58" s="3">
        <f t="shared" si="36"/>
        <v>3</v>
      </c>
    </row>
    <row r="59" spans="1:30" ht="17.100000000000001" x14ac:dyDescent="0.45">
      <c r="A59" s="3">
        <v>191031</v>
      </c>
      <c r="B59" s="44">
        <v>0.35416666666666669</v>
      </c>
      <c r="C59" s="3" t="s">
        <v>42</v>
      </c>
      <c r="D59" s="3" t="s">
        <v>53</v>
      </c>
      <c r="E59" s="3">
        <v>19</v>
      </c>
      <c r="F59" s="3">
        <v>23</v>
      </c>
      <c r="G59" s="3">
        <v>38</v>
      </c>
      <c r="H59" s="3">
        <v>36</v>
      </c>
      <c r="J59" s="3">
        <v>34</v>
      </c>
      <c r="K59" s="3">
        <v>24</v>
      </c>
      <c r="L59" s="3">
        <v>18</v>
      </c>
      <c r="M59" s="3">
        <v>29</v>
      </c>
      <c r="O59" s="3">
        <f t="shared" si="37"/>
        <v>116</v>
      </c>
      <c r="P59" s="3">
        <f t="shared" si="38"/>
        <v>105</v>
      </c>
      <c r="Q59" s="3" t="str">
        <f t="shared" si="39"/>
        <v>HL</v>
      </c>
      <c r="R59" s="3" t="str">
        <f t="shared" si="40"/>
        <v>HL</v>
      </c>
      <c r="S59" s="3" t="str">
        <f t="shared" si="41"/>
        <v>HW</v>
      </c>
      <c r="T59" s="3" t="str">
        <f t="shared" si="42"/>
        <v>HW</v>
      </c>
      <c r="U59" s="3" t="str">
        <f t="shared" si="43"/>
        <v>U</v>
      </c>
      <c r="V59" s="3" t="str">
        <f t="shared" si="44"/>
        <v>U</v>
      </c>
      <c r="W59" s="3" t="str">
        <f t="shared" si="45"/>
        <v>O</v>
      </c>
      <c r="X59" s="3" t="str">
        <f t="shared" si="46"/>
        <v>O</v>
      </c>
      <c r="Z59" s="3">
        <v>55</v>
      </c>
      <c r="AB59" s="3" t="str">
        <f t="shared" si="8"/>
        <v>BOS/MIL</v>
      </c>
      <c r="AC59" s="3">
        <f t="shared" si="35"/>
        <v>2</v>
      </c>
      <c r="AD59" s="3">
        <f t="shared" si="36"/>
        <v>2</v>
      </c>
    </row>
    <row r="60" spans="1:30" ht="17.100000000000001" x14ac:dyDescent="0.45">
      <c r="A60" s="3">
        <v>191031</v>
      </c>
      <c r="B60" s="44">
        <v>0.35416666666666669</v>
      </c>
      <c r="C60" s="3" t="s">
        <v>30</v>
      </c>
      <c r="D60" s="3" t="s">
        <v>35</v>
      </c>
      <c r="E60" s="3">
        <v>31</v>
      </c>
      <c r="F60" s="3">
        <v>32</v>
      </c>
      <c r="G60" s="3">
        <v>20</v>
      </c>
      <c r="H60" s="3">
        <v>25</v>
      </c>
      <c r="J60" s="3">
        <v>31</v>
      </c>
      <c r="K60" s="3">
        <v>29</v>
      </c>
      <c r="L60" s="3">
        <v>30</v>
      </c>
      <c r="M60" s="3">
        <v>28</v>
      </c>
      <c r="O60" s="3">
        <f t="shared" si="37"/>
        <v>108</v>
      </c>
      <c r="P60" s="3">
        <f t="shared" si="38"/>
        <v>118</v>
      </c>
      <c r="Q60" s="3" t="str">
        <f t="shared" si="39"/>
        <v>TT</v>
      </c>
      <c r="R60" s="3" t="str">
        <f t="shared" si="40"/>
        <v>HW</v>
      </c>
      <c r="S60" s="3" t="str">
        <f t="shared" si="41"/>
        <v>HL</v>
      </c>
      <c r="T60" s="3" t="str">
        <f t="shared" si="42"/>
        <v>HL</v>
      </c>
      <c r="U60" s="3" t="str">
        <f t="shared" si="43"/>
        <v>O</v>
      </c>
      <c r="V60" s="3" t="str">
        <f t="shared" si="44"/>
        <v>O</v>
      </c>
      <c r="W60" s="3" t="str">
        <f t="shared" si="45"/>
        <v>U</v>
      </c>
      <c r="X60" s="3" t="str">
        <f t="shared" si="46"/>
        <v>U</v>
      </c>
      <c r="Z60" s="3">
        <v>57</v>
      </c>
      <c r="AB60" s="3" t="str">
        <f t="shared" si="8"/>
        <v>BKN/IND</v>
      </c>
      <c r="AC60" s="3">
        <f t="shared" si="35"/>
        <v>2</v>
      </c>
      <c r="AD60" s="3">
        <f t="shared" si="36"/>
        <v>2</v>
      </c>
    </row>
    <row r="61" spans="1:30" ht="17.100000000000001" x14ac:dyDescent="0.45">
      <c r="A61" s="3">
        <v>191031</v>
      </c>
      <c r="B61" s="44">
        <v>0.35416666666666669</v>
      </c>
      <c r="C61" s="3" t="s">
        <v>28</v>
      </c>
      <c r="D61" s="3" t="s">
        <v>36</v>
      </c>
      <c r="E61" s="3">
        <v>37</v>
      </c>
      <c r="F61" s="3">
        <v>27</v>
      </c>
      <c r="G61" s="3">
        <v>37</v>
      </c>
      <c r="H61" s="3">
        <v>24</v>
      </c>
      <c r="J61" s="3">
        <v>28</v>
      </c>
      <c r="K61" s="3">
        <v>30</v>
      </c>
      <c r="L61" s="3">
        <v>27</v>
      </c>
      <c r="M61" s="3">
        <v>28</v>
      </c>
      <c r="O61" s="3">
        <f t="shared" si="37"/>
        <v>125</v>
      </c>
      <c r="P61" s="3">
        <f t="shared" si="38"/>
        <v>113</v>
      </c>
      <c r="Q61" s="3" t="str">
        <f t="shared" si="39"/>
        <v>HW</v>
      </c>
      <c r="R61" s="3" t="str">
        <f t="shared" si="40"/>
        <v>HL</v>
      </c>
      <c r="S61" s="3" t="str">
        <f t="shared" si="41"/>
        <v>HW</v>
      </c>
      <c r="T61" s="3" t="str">
        <f t="shared" si="42"/>
        <v>HL</v>
      </c>
      <c r="U61" s="3" t="str">
        <f t="shared" si="43"/>
        <v>O</v>
      </c>
      <c r="V61" s="3" t="str">
        <f t="shared" si="44"/>
        <v>O</v>
      </c>
      <c r="W61" s="3" t="str">
        <f t="shared" si="45"/>
        <v>O</v>
      </c>
      <c r="X61" s="3" t="str">
        <f t="shared" si="46"/>
        <v>U</v>
      </c>
      <c r="Z61" s="3">
        <v>55</v>
      </c>
      <c r="AB61" s="3" t="str">
        <f t="shared" si="8"/>
        <v>TOR/DET</v>
      </c>
      <c r="AC61" s="3">
        <f t="shared" si="35"/>
        <v>3</v>
      </c>
      <c r="AD61" s="3">
        <f t="shared" si="36"/>
        <v>1</v>
      </c>
    </row>
    <row r="62" spans="1:30" ht="17.100000000000001" x14ac:dyDescent="0.45">
      <c r="A62" s="3">
        <v>191031</v>
      </c>
      <c r="B62" s="44">
        <v>0.375</v>
      </c>
      <c r="C62" s="3" t="s">
        <v>49</v>
      </c>
      <c r="D62" s="3" t="s">
        <v>45</v>
      </c>
      <c r="E62" s="3">
        <v>17</v>
      </c>
      <c r="F62" s="3">
        <v>27</v>
      </c>
      <c r="G62" s="3">
        <v>25</v>
      </c>
      <c r="H62" s="3">
        <v>30</v>
      </c>
      <c r="J62" s="3">
        <v>24</v>
      </c>
      <c r="K62" s="3">
        <v>25</v>
      </c>
      <c r="L62" s="3">
        <v>19</v>
      </c>
      <c r="M62" s="3">
        <v>34</v>
      </c>
      <c r="O62" s="3">
        <f t="shared" si="37"/>
        <v>99</v>
      </c>
      <c r="P62" s="3">
        <f t="shared" si="38"/>
        <v>102</v>
      </c>
      <c r="Q62" s="3" t="str">
        <f t="shared" si="39"/>
        <v>HL</v>
      </c>
      <c r="R62" s="3" t="str">
        <f t="shared" si="40"/>
        <v>HW</v>
      </c>
      <c r="S62" s="3" t="str">
        <f t="shared" si="41"/>
        <v>HW</v>
      </c>
      <c r="T62" s="3" t="str">
        <f t="shared" si="42"/>
        <v>HL</v>
      </c>
      <c r="U62" s="3" t="str">
        <f t="shared" si="43"/>
        <v>U</v>
      </c>
      <c r="V62" s="3" t="str">
        <f t="shared" si="44"/>
        <v>U</v>
      </c>
      <c r="W62" s="3" t="str">
        <f t="shared" si="45"/>
        <v>U</v>
      </c>
      <c r="X62" s="3" t="str">
        <f t="shared" si="46"/>
        <v>O</v>
      </c>
      <c r="Z62" s="3">
        <v>54</v>
      </c>
      <c r="AB62" s="3" t="str">
        <f t="shared" si="8"/>
        <v>OKC/POR</v>
      </c>
      <c r="AC62" s="3">
        <f t="shared" si="35"/>
        <v>1</v>
      </c>
      <c r="AD62" s="3">
        <f t="shared" si="36"/>
        <v>3</v>
      </c>
    </row>
    <row r="63" spans="1:30" ht="17.100000000000001" x14ac:dyDescent="0.45">
      <c r="A63" s="3">
        <v>191031</v>
      </c>
      <c r="B63" s="44">
        <v>0.375</v>
      </c>
      <c r="C63" s="3" t="s">
        <v>34</v>
      </c>
      <c r="D63" s="3" t="s">
        <v>52</v>
      </c>
      <c r="E63" s="3">
        <v>34</v>
      </c>
      <c r="F63" s="3">
        <v>43</v>
      </c>
      <c r="G63" s="3">
        <v>40</v>
      </c>
      <c r="H63" s="3">
        <v>41</v>
      </c>
      <c r="J63" s="3">
        <v>35</v>
      </c>
      <c r="K63" s="3">
        <v>41</v>
      </c>
      <c r="L63" s="3">
        <v>35</v>
      </c>
      <c r="M63" s="3">
        <v>48</v>
      </c>
      <c r="O63" s="3">
        <f t="shared" si="37"/>
        <v>158</v>
      </c>
      <c r="P63" s="3">
        <f t="shared" si="38"/>
        <v>159</v>
      </c>
      <c r="Q63" s="3" t="str">
        <f t="shared" si="39"/>
        <v>HL</v>
      </c>
      <c r="R63" s="3" t="str">
        <f t="shared" si="40"/>
        <v>HW</v>
      </c>
      <c r="S63" s="3" t="str">
        <f t="shared" si="41"/>
        <v>HW</v>
      </c>
      <c r="T63" s="3" t="str">
        <f t="shared" si="42"/>
        <v>HL</v>
      </c>
      <c r="U63" s="3" t="str">
        <f t="shared" si="43"/>
        <v>O</v>
      </c>
      <c r="V63" s="3" t="str">
        <f t="shared" si="44"/>
        <v>O</v>
      </c>
      <c r="W63" s="3" t="str">
        <f t="shared" si="45"/>
        <v>O</v>
      </c>
      <c r="X63" s="3" t="str">
        <f t="shared" si="46"/>
        <v>O</v>
      </c>
      <c r="Z63" s="3">
        <v>60.5</v>
      </c>
      <c r="AB63" s="3" t="str">
        <f t="shared" si="8"/>
        <v>WAS/HOU</v>
      </c>
      <c r="AC63" s="3">
        <f t="shared" si="35"/>
        <v>4</v>
      </c>
      <c r="AD63" s="3">
        <f t="shared" si="36"/>
        <v>0</v>
      </c>
    </row>
    <row r="64" spans="1:30" ht="17.100000000000001" x14ac:dyDescent="0.45">
      <c r="A64" s="3">
        <v>191031</v>
      </c>
      <c r="B64" s="44">
        <v>0.45833333333333331</v>
      </c>
      <c r="C64" s="11" t="s">
        <v>44</v>
      </c>
      <c r="D64" s="11" t="s">
        <v>31</v>
      </c>
      <c r="E64" s="3">
        <v>33</v>
      </c>
      <c r="F64" s="3">
        <v>33</v>
      </c>
      <c r="G64" s="3">
        <v>18</v>
      </c>
      <c r="H64" s="3">
        <v>27</v>
      </c>
      <c r="J64" s="3">
        <v>30</v>
      </c>
      <c r="K64" s="3">
        <v>31</v>
      </c>
      <c r="L64" s="3">
        <v>32</v>
      </c>
      <c r="M64" s="3">
        <v>25</v>
      </c>
      <c r="O64" s="3">
        <f t="shared" si="37"/>
        <v>111</v>
      </c>
      <c r="P64" s="3">
        <f t="shared" si="38"/>
        <v>118</v>
      </c>
      <c r="Q64" s="3" t="str">
        <f t="shared" si="39"/>
        <v>HW</v>
      </c>
      <c r="R64" s="3" t="str">
        <f t="shared" si="40"/>
        <v>HW</v>
      </c>
      <c r="S64" s="3" t="str">
        <f t="shared" si="41"/>
        <v>HL</v>
      </c>
      <c r="T64" s="3" t="str">
        <f t="shared" si="42"/>
        <v>HW</v>
      </c>
      <c r="U64" s="3" t="str">
        <f t="shared" si="43"/>
        <v>O</v>
      </c>
      <c r="V64" s="3" t="str">
        <f t="shared" si="44"/>
        <v>O</v>
      </c>
      <c r="W64" s="3" t="str">
        <f t="shared" si="45"/>
        <v>U</v>
      </c>
      <c r="X64" s="3" t="str">
        <f t="shared" si="46"/>
        <v>U</v>
      </c>
      <c r="Z64" s="3">
        <v>57.5</v>
      </c>
      <c r="AB64" s="3" t="str">
        <f t="shared" si="8"/>
        <v>SAC/CHA</v>
      </c>
      <c r="AC64" s="3">
        <f t="shared" si="35"/>
        <v>2</v>
      </c>
      <c r="AD64" s="3">
        <f t="shared" si="36"/>
        <v>2</v>
      </c>
    </row>
    <row r="65" spans="1:30" ht="17.100000000000001" x14ac:dyDescent="0.45">
      <c r="A65" s="3">
        <v>191031</v>
      </c>
      <c r="B65" s="44">
        <v>0.45833333333333331</v>
      </c>
      <c r="C65" s="3" t="s">
        <v>48</v>
      </c>
      <c r="D65" s="3" t="s">
        <v>25</v>
      </c>
      <c r="E65" s="3">
        <v>33</v>
      </c>
      <c r="F65" s="3">
        <v>19</v>
      </c>
      <c r="G65" s="3">
        <v>38</v>
      </c>
      <c r="H65" s="3">
        <v>20</v>
      </c>
      <c r="J65" s="3">
        <v>23</v>
      </c>
      <c r="K65" s="3">
        <v>28</v>
      </c>
      <c r="L65" s="3">
        <v>20</v>
      </c>
      <c r="M65" s="3">
        <v>25</v>
      </c>
      <c r="O65" s="3">
        <f t="shared" si="37"/>
        <v>110</v>
      </c>
      <c r="P65" s="3">
        <f t="shared" si="38"/>
        <v>96</v>
      </c>
      <c r="Q65" s="3" t="str">
        <f t="shared" si="39"/>
        <v>HW</v>
      </c>
      <c r="R65" s="3" t="str">
        <f t="shared" si="40"/>
        <v>HL</v>
      </c>
      <c r="S65" s="3" t="str">
        <f t="shared" si="41"/>
        <v>HW</v>
      </c>
      <c r="T65" s="3" t="str">
        <f t="shared" si="42"/>
        <v>HL</v>
      </c>
      <c r="U65" s="3" t="str">
        <f t="shared" si="43"/>
        <v>O</v>
      </c>
      <c r="V65" s="3" t="str">
        <f t="shared" si="44"/>
        <v>U</v>
      </c>
      <c r="W65" s="3" t="str">
        <f t="shared" si="45"/>
        <v>O</v>
      </c>
      <c r="X65" s="3" t="str">
        <f t="shared" si="46"/>
        <v>U</v>
      </c>
      <c r="Z65" s="3">
        <v>54.5</v>
      </c>
      <c r="AB65" s="3" t="str">
        <f t="shared" si="8"/>
        <v>UTA/LAC</v>
      </c>
      <c r="AC65" s="3">
        <f t="shared" si="35"/>
        <v>2</v>
      </c>
      <c r="AD65" s="3">
        <f t="shared" si="36"/>
        <v>2</v>
      </c>
    </row>
    <row r="66" spans="1:30" ht="17.100000000000001" x14ac:dyDescent="0.45">
      <c r="A66" s="3">
        <v>191031</v>
      </c>
      <c r="B66" s="44">
        <v>0.47916666666666669</v>
      </c>
      <c r="C66" s="3" t="s">
        <v>51</v>
      </c>
      <c r="D66" s="3" t="s">
        <v>43</v>
      </c>
      <c r="E66" s="3">
        <v>14</v>
      </c>
      <c r="F66" s="3">
        <v>32</v>
      </c>
      <c r="G66" s="3">
        <v>21</v>
      </c>
      <c r="H66" s="3">
        <v>43</v>
      </c>
      <c r="J66" s="3">
        <v>43</v>
      </c>
      <c r="K66" s="3">
        <v>29</v>
      </c>
      <c r="L66" s="3">
        <v>23</v>
      </c>
      <c r="M66" s="3">
        <v>26</v>
      </c>
      <c r="O66" s="3">
        <f t="shared" si="37"/>
        <v>110</v>
      </c>
      <c r="P66" s="3">
        <f t="shared" si="38"/>
        <v>121</v>
      </c>
      <c r="Q66" s="3" t="str">
        <f t="shared" si="39"/>
        <v>HL</v>
      </c>
      <c r="R66" s="3" t="str">
        <f t="shared" si="40"/>
        <v>HW</v>
      </c>
      <c r="S66" s="3" t="str">
        <f t="shared" si="41"/>
        <v>HL</v>
      </c>
      <c r="T66" s="3" t="str">
        <f t="shared" si="42"/>
        <v>HW</v>
      </c>
      <c r="U66" s="3" t="str">
        <f t="shared" si="43"/>
        <v>T</v>
      </c>
      <c r="V66" s="3" t="str">
        <f t="shared" si="44"/>
        <v>O</v>
      </c>
      <c r="W66" s="3" t="str">
        <f t="shared" si="45"/>
        <v>U</v>
      </c>
      <c r="X66" s="3" t="str">
        <f t="shared" si="46"/>
        <v>O</v>
      </c>
      <c r="Z66" s="3">
        <v>57</v>
      </c>
      <c r="AB66" s="3" t="str">
        <f t="shared" si="8"/>
        <v>GS/PHO</v>
      </c>
      <c r="AC66" s="3">
        <f t="shared" si="35"/>
        <v>2</v>
      </c>
      <c r="AD66" s="3">
        <f t="shared" si="36"/>
        <v>1</v>
      </c>
    </row>
    <row r="67" spans="1:30" ht="17.100000000000001" x14ac:dyDescent="0.45">
      <c r="A67" s="3">
        <v>191101</v>
      </c>
      <c r="B67" s="44">
        <v>0.33333333333333331</v>
      </c>
      <c r="C67" s="3" t="s">
        <v>122</v>
      </c>
      <c r="D67" s="3" t="s">
        <v>123</v>
      </c>
      <c r="E67" s="3">
        <v>26</v>
      </c>
      <c r="F67" s="3">
        <v>20</v>
      </c>
      <c r="G67" s="3">
        <v>29</v>
      </c>
      <c r="H67" s="3">
        <v>22</v>
      </c>
      <c r="J67" s="3">
        <v>30</v>
      </c>
      <c r="K67" s="3">
        <v>22</v>
      </c>
      <c r="L67" s="3">
        <v>33</v>
      </c>
      <c r="M67" s="3">
        <v>21</v>
      </c>
      <c r="O67" s="3">
        <f t="shared" si="37"/>
        <v>97</v>
      </c>
      <c r="P67" s="3">
        <f t="shared" si="38"/>
        <v>106</v>
      </c>
      <c r="Q67" s="3" t="str">
        <f t="shared" si="39"/>
        <v>HL</v>
      </c>
      <c r="R67" s="3" t="str">
        <f t="shared" si="40"/>
        <v>HL</v>
      </c>
      <c r="S67" s="3" t="str">
        <f t="shared" si="41"/>
        <v>HL</v>
      </c>
      <c r="T67" s="3" t="str">
        <f t="shared" si="42"/>
        <v>HW</v>
      </c>
      <c r="U67" s="3" t="str">
        <f t="shared" si="43"/>
        <v>O</v>
      </c>
      <c r="V67" s="3" t="str">
        <f t="shared" si="44"/>
        <v>U</v>
      </c>
      <c r="W67" s="3" t="str">
        <f t="shared" si="45"/>
        <v>O</v>
      </c>
      <c r="X67" s="3" t="str">
        <f t="shared" si="46"/>
        <v>U</v>
      </c>
      <c r="Z67" s="3">
        <v>55.5</v>
      </c>
      <c r="AB67" s="3" t="str">
        <f t="shared" si="8"/>
        <v>ATL/MIA</v>
      </c>
      <c r="AC67" s="3">
        <f t="shared" si="35"/>
        <v>2</v>
      </c>
      <c r="AD67" s="3">
        <f t="shared" si="36"/>
        <v>2</v>
      </c>
    </row>
    <row r="68" spans="1:30" ht="17.100000000000001" x14ac:dyDescent="0.45">
      <c r="A68" s="3">
        <v>191101</v>
      </c>
      <c r="B68" s="44">
        <v>0.4375</v>
      </c>
      <c r="C68" s="3" t="s">
        <v>124</v>
      </c>
      <c r="D68" s="3" t="s">
        <v>125</v>
      </c>
      <c r="E68" s="3">
        <v>32</v>
      </c>
      <c r="F68" s="3">
        <v>24</v>
      </c>
      <c r="G68" s="3">
        <v>30</v>
      </c>
      <c r="H68" s="3">
        <v>36</v>
      </c>
      <c r="J68" s="3">
        <v>30</v>
      </c>
      <c r="K68" s="3">
        <v>22</v>
      </c>
      <c r="L68" s="3">
        <v>23</v>
      </c>
      <c r="M68" s="3">
        <v>32</v>
      </c>
      <c r="O68" s="3">
        <f t="shared" si="37"/>
        <v>122</v>
      </c>
      <c r="P68" s="3">
        <f t="shared" si="38"/>
        <v>107</v>
      </c>
      <c r="Q68" s="3" t="str">
        <f t="shared" si="39"/>
        <v>HW</v>
      </c>
      <c r="R68" s="3" t="str">
        <f t="shared" si="40"/>
        <v>HW</v>
      </c>
      <c r="S68" s="3" t="str">
        <f t="shared" si="41"/>
        <v>HW</v>
      </c>
      <c r="T68" s="3" t="str">
        <f t="shared" si="42"/>
        <v>HW</v>
      </c>
      <c r="U68" s="3" t="str">
        <f t="shared" si="43"/>
        <v>O</v>
      </c>
      <c r="V68" s="3" t="str">
        <f t="shared" si="44"/>
        <v>U</v>
      </c>
      <c r="W68" s="3" t="str">
        <f t="shared" si="45"/>
        <v>U</v>
      </c>
      <c r="X68" s="3" t="str">
        <f t="shared" si="46"/>
        <v>O</v>
      </c>
      <c r="Z68" s="3">
        <v>57.5</v>
      </c>
      <c r="AB68" s="3" t="str">
        <f t="shared" ref="AB68:AB116" si="47">C68&amp;"/"&amp;D68</f>
        <v>NO/DEN</v>
      </c>
      <c r="AC68" s="3">
        <f t="shared" si="35"/>
        <v>2</v>
      </c>
      <c r="AD68" s="3">
        <f t="shared" si="36"/>
        <v>2</v>
      </c>
    </row>
    <row r="69" spans="1:30" ht="17.100000000000001" x14ac:dyDescent="0.45">
      <c r="A69" s="3">
        <v>191101</v>
      </c>
      <c r="B69" s="44">
        <v>0.47916666666666669</v>
      </c>
      <c r="C69" s="3" t="s">
        <v>126</v>
      </c>
      <c r="D69" s="3" t="s">
        <v>127</v>
      </c>
      <c r="E69" s="3">
        <v>23</v>
      </c>
      <c r="F69" s="3">
        <v>27</v>
      </c>
      <c r="G69" s="3">
        <v>30</v>
      </c>
      <c r="H69" s="3">
        <v>23</v>
      </c>
      <c r="J69" s="3">
        <v>24</v>
      </c>
      <c r="K69" s="3">
        <v>24</v>
      </c>
      <c r="L69" s="3">
        <v>27</v>
      </c>
      <c r="M69" s="3">
        <v>22</v>
      </c>
      <c r="O69" s="3">
        <f t="shared" si="37"/>
        <v>103</v>
      </c>
      <c r="P69" s="3">
        <f t="shared" si="38"/>
        <v>97</v>
      </c>
      <c r="Q69" s="3" t="str">
        <f t="shared" si="39"/>
        <v>HL</v>
      </c>
      <c r="R69" s="3" t="str">
        <f t="shared" si="40"/>
        <v>HW</v>
      </c>
      <c r="S69" s="3" t="str">
        <f t="shared" si="41"/>
        <v>HW</v>
      </c>
      <c r="T69" s="3" t="str">
        <f t="shared" si="42"/>
        <v>HW</v>
      </c>
      <c r="U69" s="3" t="str">
        <f t="shared" si="43"/>
        <v>U</v>
      </c>
      <c r="V69" s="3" t="str">
        <f t="shared" si="44"/>
        <v>U</v>
      </c>
      <c r="W69" s="3" t="str">
        <f t="shared" si="45"/>
        <v>O</v>
      </c>
      <c r="X69" s="3" t="str">
        <f t="shared" si="46"/>
        <v>U</v>
      </c>
      <c r="Z69" s="3">
        <v>56.5</v>
      </c>
      <c r="AB69" s="3" t="str">
        <f t="shared" si="47"/>
        <v>LAC/SAS</v>
      </c>
      <c r="AC69" s="3">
        <f t="shared" si="35"/>
        <v>1</v>
      </c>
      <c r="AD69" s="3">
        <f t="shared" si="36"/>
        <v>3</v>
      </c>
    </row>
    <row r="70" spans="1:30" ht="17.100000000000001" x14ac:dyDescent="0.45">
      <c r="A70" s="3">
        <v>191102</v>
      </c>
      <c r="B70" s="44">
        <v>0.33333333333333331</v>
      </c>
      <c r="C70" s="3" t="s">
        <v>128</v>
      </c>
      <c r="D70" s="3" t="s">
        <v>129</v>
      </c>
      <c r="E70" s="3">
        <v>19</v>
      </c>
      <c r="F70" s="3">
        <v>23</v>
      </c>
      <c r="G70" s="3">
        <v>26</v>
      </c>
      <c r="H70" s="3">
        <v>34</v>
      </c>
      <c r="J70" s="3">
        <v>26</v>
      </c>
      <c r="K70" s="3">
        <v>11</v>
      </c>
      <c r="L70" s="3">
        <v>24</v>
      </c>
      <c r="M70" s="3">
        <v>34</v>
      </c>
      <c r="O70" s="3">
        <f t="shared" si="37"/>
        <v>102</v>
      </c>
      <c r="P70" s="3">
        <f t="shared" si="38"/>
        <v>95</v>
      </c>
      <c r="Q70" s="3" t="str">
        <f t="shared" si="39"/>
        <v>HL</v>
      </c>
      <c r="R70" s="3" t="str">
        <f t="shared" si="40"/>
        <v>HW</v>
      </c>
      <c r="S70" s="3" t="str">
        <f t="shared" si="41"/>
        <v>HW</v>
      </c>
      <c r="T70" s="3" t="str">
        <f t="shared" si="42"/>
        <v>TT</v>
      </c>
      <c r="U70" s="3" t="str">
        <f t="shared" si="43"/>
        <v>U</v>
      </c>
      <c r="V70" s="3" t="str">
        <f t="shared" si="44"/>
        <v>U</v>
      </c>
      <c r="W70" s="3" t="str">
        <f t="shared" si="45"/>
        <v>U</v>
      </c>
      <c r="X70" s="3" t="str">
        <f t="shared" si="46"/>
        <v>O</v>
      </c>
      <c r="Z70" s="3">
        <v>52</v>
      </c>
      <c r="AB70" s="3" t="str">
        <f t="shared" si="47"/>
        <v>IND/CLE</v>
      </c>
      <c r="AC70" s="3">
        <f t="shared" si="35"/>
        <v>1</v>
      </c>
      <c r="AD70" s="3">
        <f t="shared" si="36"/>
        <v>3</v>
      </c>
    </row>
    <row r="71" spans="1:30" ht="17.100000000000001" x14ac:dyDescent="0.45">
      <c r="A71" s="3">
        <v>191102</v>
      </c>
      <c r="B71" s="44">
        <v>0.33333333333333331</v>
      </c>
      <c r="C71" s="3" t="s">
        <v>30</v>
      </c>
      <c r="D71" s="3" t="s">
        <v>52</v>
      </c>
      <c r="E71" s="3">
        <v>24</v>
      </c>
      <c r="F71" s="3">
        <v>37</v>
      </c>
      <c r="G71" s="3">
        <v>34</v>
      </c>
      <c r="H71" s="3">
        <v>28</v>
      </c>
      <c r="J71" s="3">
        <v>33</v>
      </c>
      <c r="K71" s="3">
        <v>26</v>
      </c>
      <c r="L71" s="3">
        <v>24</v>
      </c>
      <c r="M71" s="3">
        <v>33</v>
      </c>
      <c r="O71" s="3">
        <f t="shared" si="37"/>
        <v>123</v>
      </c>
      <c r="P71" s="3">
        <f t="shared" si="38"/>
        <v>116</v>
      </c>
      <c r="Q71" s="3" t="str">
        <f t="shared" si="39"/>
        <v>HL</v>
      </c>
      <c r="R71" s="3" t="str">
        <f t="shared" si="40"/>
        <v>HW</v>
      </c>
      <c r="S71" s="3" t="str">
        <f t="shared" si="41"/>
        <v>HW</v>
      </c>
      <c r="T71" s="3" t="str">
        <f t="shared" si="42"/>
        <v>HL</v>
      </c>
      <c r="U71" s="3" t="str">
        <f t="shared" si="43"/>
        <v>U</v>
      </c>
      <c r="V71" s="3" t="str">
        <f t="shared" si="44"/>
        <v>O</v>
      </c>
      <c r="W71" s="3" t="str">
        <f t="shared" si="45"/>
        <v>U</v>
      </c>
      <c r="X71" s="3" t="str">
        <f t="shared" si="46"/>
        <v>U</v>
      </c>
      <c r="Z71" s="3">
        <v>62.5</v>
      </c>
      <c r="AB71" s="3" t="str">
        <f t="shared" si="47"/>
        <v>BKN/HOU</v>
      </c>
      <c r="AC71" s="3">
        <f t="shared" si="35"/>
        <v>1</v>
      </c>
      <c r="AD71" s="3">
        <f t="shared" si="36"/>
        <v>3</v>
      </c>
    </row>
    <row r="72" spans="1:30" ht="17.100000000000001" x14ac:dyDescent="0.45">
      <c r="A72" s="3">
        <v>191102</v>
      </c>
      <c r="B72" s="44">
        <v>0.33333333333333331</v>
      </c>
      <c r="C72" s="3" t="s">
        <v>130</v>
      </c>
      <c r="D72" s="3" t="s">
        <v>131</v>
      </c>
      <c r="E72" s="3">
        <v>27</v>
      </c>
      <c r="F72" s="3">
        <v>14</v>
      </c>
      <c r="G72" s="3">
        <v>30</v>
      </c>
      <c r="H72" s="3">
        <v>20</v>
      </c>
      <c r="J72" s="3">
        <v>31</v>
      </c>
      <c r="K72" s="3">
        <v>31</v>
      </c>
      <c r="L72" s="3">
        <v>26</v>
      </c>
      <c r="M72" s="3">
        <v>35</v>
      </c>
      <c r="O72" s="3">
        <f t="shared" si="37"/>
        <v>91</v>
      </c>
      <c r="P72" s="3">
        <f t="shared" si="38"/>
        <v>123</v>
      </c>
      <c r="Q72" s="3" t="str">
        <f t="shared" si="39"/>
        <v>HL</v>
      </c>
      <c r="R72" s="3" t="str">
        <f t="shared" si="40"/>
        <v>HL</v>
      </c>
      <c r="S72" s="3" t="str">
        <f t="shared" si="41"/>
        <v>HW</v>
      </c>
      <c r="T72" s="3" t="str">
        <f t="shared" si="42"/>
        <v>HL</v>
      </c>
      <c r="U72" s="3" t="str">
        <f t="shared" si="43"/>
        <v>O</v>
      </c>
      <c r="V72" s="3" t="str">
        <f t="shared" si="44"/>
        <v>U</v>
      </c>
      <c r="W72" s="3" t="str">
        <f t="shared" si="45"/>
        <v>O</v>
      </c>
      <c r="X72" s="3" t="str">
        <f t="shared" si="46"/>
        <v>O</v>
      </c>
      <c r="Z72" s="3">
        <v>52</v>
      </c>
      <c r="AB72" s="3" t="str">
        <f t="shared" si="47"/>
        <v>ORL/MIL</v>
      </c>
      <c r="AC72" s="3">
        <f t="shared" si="35"/>
        <v>3</v>
      </c>
      <c r="AD72" s="3">
        <f t="shared" si="36"/>
        <v>1</v>
      </c>
    </row>
    <row r="73" spans="1:30" ht="17.100000000000001" x14ac:dyDescent="0.45">
      <c r="A73" s="3">
        <v>191102</v>
      </c>
      <c r="B73" s="44">
        <v>0.35416666666666669</v>
      </c>
      <c r="C73" s="3" t="s">
        <v>132</v>
      </c>
      <c r="D73" s="3" t="s">
        <v>133</v>
      </c>
      <c r="E73" s="3">
        <v>22</v>
      </c>
      <c r="F73" s="3">
        <v>27</v>
      </c>
      <c r="G73" s="3">
        <v>26</v>
      </c>
      <c r="H73" s="3">
        <v>29</v>
      </c>
      <c r="J73" s="3">
        <v>23</v>
      </c>
      <c r="K73" s="3">
        <v>27</v>
      </c>
      <c r="L73" s="3">
        <v>24</v>
      </c>
      <c r="M73" s="3">
        <v>28</v>
      </c>
      <c r="O73" s="3">
        <f t="shared" si="37"/>
        <v>104</v>
      </c>
      <c r="P73" s="3">
        <f t="shared" si="38"/>
        <v>102</v>
      </c>
      <c r="Q73" s="3" t="str">
        <f t="shared" si="39"/>
        <v>HL</v>
      </c>
      <c r="R73" s="3" t="str">
        <f t="shared" si="40"/>
        <v>TT</v>
      </c>
      <c r="S73" s="3" t="str">
        <f t="shared" si="41"/>
        <v>HW</v>
      </c>
      <c r="T73" s="3" t="str">
        <f t="shared" si="42"/>
        <v>HW</v>
      </c>
      <c r="U73" s="3" t="str">
        <f t="shared" si="43"/>
        <v>U</v>
      </c>
      <c r="V73" s="3" t="str">
        <f t="shared" si="44"/>
        <v>T</v>
      </c>
      <c r="W73" s="3" t="str">
        <f t="shared" si="45"/>
        <v>U</v>
      </c>
      <c r="X73" s="3" t="str">
        <f t="shared" si="46"/>
        <v>O</v>
      </c>
      <c r="Z73" s="3">
        <v>54</v>
      </c>
      <c r="AB73" s="3" t="str">
        <f t="shared" si="47"/>
        <v>BOS/NYK</v>
      </c>
      <c r="AC73" s="3">
        <f t="shared" si="35"/>
        <v>1</v>
      </c>
      <c r="AD73" s="3">
        <f t="shared" si="36"/>
        <v>2</v>
      </c>
    </row>
    <row r="74" spans="1:30" ht="17.100000000000001" x14ac:dyDescent="0.45">
      <c r="A74" s="3">
        <v>191102</v>
      </c>
      <c r="B74" s="44">
        <v>0.375</v>
      </c>
      <c r="C74" s="3" t="s">
        <v>134</v>
      </c>
      <c r="D74" s="3" t="s">
        <v>135</v>
      </c>
      <c r="E74" s="3">
        <v>30</v>
      </c>
      <c r="F74" s="3">
        <v>27</v>
      </c>
      <c r="G74" s="3">
        <v>29</v>
      </c>
      <c r="H74" s="3">
        <v>26</v>
      </c>
      <c r="J74" s="3">
        <v>23</v>
      </c>
      <c r="K74" s="3">
        <v>29</v>
      </c>
      <c r="L74" s="3">
        <v>28</v>
      </c>
      <c r="M74" s="3">
        <v>26</v>
      </c>
      <c r="O74" s="3">
        <f t="shared" si="37"/>
        <v>112</v>
      </c>
      <c r="P74" s="3">
        <f t="shared" si="38"/>
        <v>106</v>
      </c>
      <c r="Q74" s="3" t="str">
        <f t="shared" si="39"/>
        <v>HW</v>
      </c>
      <c r="R74" s="3" t="str">
        <f t="shared" si="40"/>
        <v>HL</v>
      </c>
      <c r="S74" s="3" t="str">
        <f t="shared" si="41"/>
        <v>HW</v>
      </c>
      <c r="T74" s="3" t="str">
        <f t="shared" si="42"/>
        <v>TT</v>
      </c>
      <c r="U74" s="3" t="str">
        <f t="shared" si="43"/>
        <v>U</v>
      </c>
      <c r="V74" s="3" t="str">
        <f t="shared" si="44"/>
        <v>O</v>
      </c>
      <c r="W74" s="3" t="str">
        <f t="shared" si="45"/>
        <v>O</v>
      </c>
      <c r="X74" s="3" t="str">
        <f t="shared" si="46"/>
        <v>U</v>
      </c>
      <c r="Z74" s="3">
        <v>55.5</v>
      </c>
      <c r="AB74" s="3" t="str">
        <f t="shared" si="47"/>
        <v>CHI/DET</v>
      </c>
      <c r="AC74" s="3">
        <f t="shared" si="35"/>
        <v>2</v>
      </c>
      <c r="AD74" s="3">
        <f t="shared" si="36"/>
        <v>2</v>
      </c>
    </row>
    <row r="75" spans="1:30" ht="17.100000000000001" x14ac:dyDescent="0.45">
      <c r="A75" s="3">
        <v>191102</v>
      </c>
      <c r="B75" s="44">
        <v>0.4375</v>
      </c>
      <c r="C75" s="3" t="s">
        <v>136</v>
      </c>
      <c r="D75" s="3" t="s">
        <v>137</v>
      </c>
      <c r="E75" s="3">
        <v>25</v>
      </c>
      <c r="F75" s="3">
        <v>33</v>
      </c>
      <c r="G75" s="3">
        <v>27</v>
      </c>
      <c r="H75" s="3">
        <v>18</v>
      </c>
      <c r="I75" s="3">
        <v>7</v>
      </c>
      <c r="J75" s="3">
        <v>20</v>
      </c>
      <c r="K75" s="3">
        <v>28</v>
      </c>
      <c r="L75" s="3">
        <v>28</v>
      </c>
      <c r="M75" s="3">
        <v>27</v>
      </c>
      <c r="O75" s="3">
        <f t="shared" si="37"/>
        <v>110</v>
      </c>
      <c r="P75" s="3">
        <f t="shared" si="38"/>
        <v>103</v>
      </c>
      <c r="Q75" s="3" t="str">
        <f t="shared" si="39"/>
        <v>HW</v>
      </c>
      <c r="R75" s="3" t="str">
        <f t="shared" si="40"/>
        <v>HW</v>
      </c>
      <c r="S75" s="3" t="str">
        <f t="shared" si="41"/>
        <v>HL</v>
      </c>
      <c r="T75" s="3" t="str">
        <f t="shared" si="42"/>
        <v>HL</v>
      </c>
      <c r="U75" s="3" t="str">
        <f t="shared" si="43"/>
        <v>U</v>
      </c>
      <c r="V75" s="3" t="str">
        <f t="shared" si="44"/>
        <v>O</v>
      </c>
      <c r="W75" s="3" t="str">
        <f t="shared" si="45"/>
        <v>U</v>
      </c>
      <c r="X75" s="3" t="str">
        <f t="shared" si="46"/>
        <v>U</v>
      </c>
      <c r="Z75" s="3">
        <v>56</v>
      </c>
      <c r="AB75" s="3" t="str">
        <f t="shared" si="47"/>
        <v>DAL/LAL</v>
      </c>
      <c r="AC75" s="3">
        <f t="shared" si="35"/>
        <v>1</v>
      </c>
      <c r="AD75" s="3">
        <f t="shared" si="36"/>
        <v>3</v>
      </c>
    </row>
    <row r="76" spans="1:30" ht="17.100000000000001" x14ac:dyDescent="0.45">
      <c r="A76" s="3">
        <v>191102</v>
      </c>
      <c r="B76" s="44">
        <v>0.45833333333333331</v>
      </c>
      <c r="C76" s="3" t="s">
        <v>138</v>
      </c>
      <c r="D76" s="3" t="s">
        <v>139</v>
      </c>
      <c r="E76" s="3">
        <v>28</v>
      </c>
      <c r="F76" s="3">
        <v>23</v>
      </c>
      <c r="G76" s="3">
        <v>30</v>
      </c>
      <c r="H76" s="3">
        <v>21</v>
      </c>
      <c r="J76" s="3">
        <v>18</v>
      </c>
      <c r="K76" s="3">
        <v>30</v>
      </c>
      <c r="L76" s="3">
        <v>32</v>
      </c>
      <c r="M76" s="3">
        <v>21</v>
      </c>
      <c r="O76" s="3">
        <f t="shared" si="37"/>
        <v>102</v>
      </c>
      <c r="P76" s="3">
        <f t="shared" si="38"/>
        <v>101</v>
      </c>
      <c r="Q76" s="3" t="str">
        <f t="shared" si="39"/>
        <v>HW</v>
      </c>
      <c r="R76" s="3" t="str">
        <f t="shared" si="40"/>
        <v>HL</v>
      </c>
      <c r="S76" s="3" t="str">
        <f t="shared" si="41"/>
        <v>HL</v>
      </c>
      <c r="T76" s="3" t="str">
        <f t="shared" si="42"/>
        <v>TT</v>
      </c>
      <c r="U76" s="3" t="str">
        <f t="shared" si="43"/>
        <v>U</v>
      </c>
      <c r="V76" s="3" t="str">
        <f t="shared" si="44"/>
        <v>O</v>
      </c>
      <c r="W76" s="3" t="str">
        <f t="shared" si="45"/>
        <v>O</v>
      </c>
      <c r="X76" s="3" t="str">
        <f t="shared" si="46"/>
        <v>U</v>
      </c>
      <c r="Z76" s="3">
        <v>52</v>
      </c>
      <c r="AB76" s="3" t="str">
        <f t="shared" si="47"/>
        <v>SAC/UTA</v>
      </c>
      <c r="AC76" s="3">
        <f t="shared" si="35"/>
        <v>2</v>
      </c>
      <c r="AD76" s="3">
        <f t="shared" si="36"/>
        <v>2</v>
      </c>
    </row>
    <row r="77" spans="1:30" ht="17.100000000000001" x14ac:dyDescent="0.45">
      <c r="A77" s="3">
        <v>191102</v>
      </c>
      <c r="B77" s="44">
        <v>0.47916666666666669</v>
      </c>
      <c r="C77" s="3" t="s">
        <v>140</v>
      </c>
      <c r="D77" s="3" t="s">
        <v>127</v>
      </c>
      <c r="E77" s="3">
        <v>28</v>
      </c>
      <c r="F77" s="3">
        <v>27</v>
      </c>
      <c r="G77" s="3">
        <v>31</v>
      </c>
      <c r="H77" s="3">
        <v>24</v>
      </c>
      <c r="J77" s="3">
        <v>29</v>
      </c>
      <c r="K77" s="3">
        <v>28</v>
      </c>
      <c r="L77" s="3">
        <v>40</v>
      </c>
      <c r="M77" s="3">
        <v>30</v>
      </c>
      <c r="O77" s="3">
        <f t="shared" si="37"/>
        <v>110</v>
      </c>
      <c r="P77" s="3">
        <f t="shared" si="38"/>
        <v>127</v>
      </c>
      <c r="Q77" s="3" t="str">
        <f t="shared" si="39"/>
        <v>HL</v>
      </c>
      <c r="R77" s="3" t="str">
        <f t="shared" si="40"/>
        <v>HL</v>
      </c>
      <c r="S77" s="3" t="str">
        <f t="shared" si="41"/>
        <v>HL</v>
      </c>
      <c r="T77" s="3" t="str">
        <f t="shared" si="42"/>
        <v>HL</v>
      </c>
      <c r="U77" s="3" t="str">
        <f t="shared" si="43"/>
        <v>O</v>
      </c>
      <c r="V77" s="3" t="str">
        <f t="shared" si="44"/>
        <v>O</v>
      </c>
      <c r="W77" s="3" t="str">
        <f t="shared" si="45"/>
        <v>O</v>
      </c>
      <c r="X77" s="3" t="str">
        <f t="shared" si="46"/>
        <v>U</v>
      </c>
      <c r="Z77" s="3">
        <v>54.5</v>
      </c>
      <c r="AB77" s="3" t="str">
        <f t="shared" si="47"/>
        <v>GS/SAS</v>
      </c>
      <c r="AC77" s="3">
        <f t="shared" si="35"/>
        <v>3</v>
      </c>
      <c r="AD77" s="3">
        <f t="shared" si="36"/>
        <v>1</v>
      </c>
    </row>
    <row r="78" spans="1:30" ht="17.100000000000001" x14ac:dyDescent="0.45">
      <c r="A78" s="3">
        <v>191103</v>
      </c>
      <c r="B78" s="44">
        <v>0.25</v>
      </c>
      <c r="C78" s="3" t="s">
        <v>141</v>
      </c>
      <c r="D78" s="3" t="s">
        <v>124</v>
      </c>
      <c r="E78" s="3">
        <v>33</v>
      </c>
      <c r="F78" s="3">
        <v>32</v>
      </c>
      <c r="G78" s="3">
        <v>29</v>
      </c>
      <c r="H78" s="3">
        <v>21</v>
      </c>
      <c r="J78" s="3">
        <v>26</v>
      </c>
      <c r="K78" s="3">
        <v>34</v>
      </c>
      <c r="L78" s="3">
        <v>26</v>
      </c>
      <c r="M78" s="3">
        <v>18</v>
      </c>
      <c r="O78" s="3">
        <f t="shared" si="37"/>
        <v>115</v>
      </c>
      <c r="P78" s="3">
        <f t="shared" si="38"/>
        <v>104</v>
      </c>
      <c r="Q78" s="3" t="str">
        <f t="shared" si="39"/>
        <v>HW</v>
      </c>
      <c r="R78" s="3" t="str">
        <f t="shared" si="40"/>
        <v>HL</v>
      </c>
      <c r="S78" s="3" t="str">
        <f t="shared" si="41"/>
        <v>HW</v>
      </c>
      <c r="T78" s="3" t="str">
        <f t="shared" si="42"/>
        <v>HW</v>
      </c>
      <c r="U78" s="3" t="str">
        <f t="shared" si="43"/>
        <v>O</v>
      </c>
      <c r="V78" s="3" t="str">
        <f t="shared" si="44"/>
        <v>O</v>
      </c>
      <c r="W78" s="3" t="str">
        <f t="shared" si="45"/>
        <v>U</v>
      </c>
      <c r="X78" s="3" t="str">
        <f t="shared" si="46"/>
        <v>U</v>
      </c>
      <c r="Z78" s="3">
        <v>57.5</v>
      </c>
      <c r="AB78" s="3" t="str">
        <f t="shared" si="47"/>
        <v>OKC/NO</v>
      </c>
      <c r="AC78" s="3">
        <f t="shared" si="35"/>
        <v>2</v>
      </c>
      <c r="AD78" s="3">
        <f t="shared" si="36"/>
        <v>2</v>
      </c>
    </row>
    <row r="79" spans="1:30" ht="17.100000000000001" x14ac:dyDescent="0.45">
      <c r="A79" s="3">
        <v>191103</v>
      </c>
      <c r="B79" s="44">
        <v>0.33333333333333331</v>
      </c>
      <c r="C79" s="3" t="s">
        <v>135</v>
      </c>
      <c r="D79" s="3" t="s">
        <v>142</v>
      </c>
      <c r="E79" s="3">
        <v>33</v>
      </c>
      <c r="F79" s="3">
        <v>13</v>
      </c>
      <c r="G79" s="3">
        <v>32</v>
      </c>
      <c r="H79" s="3">
        <v>35</v>
      </c>
      <c r="J79" s="3">
        <v>26</v>
      </c>
      <c r="K79" s="3">
        <v>28</v>
      </c>
      <c r="L79" s="3">
        <v>18</v>
      </c>
      <c r="M79" s="3">
        <v>37</v>
      </c>
      <c r="O79" s="3">
        <f t="shared" si="37"/>
        <v>113</v>
      </c>
      <c r="P79" s="3">
        <f t="shared" si="38"/>
        <v>109</v>
      </c>
      <c r="Q79" s="3" t="str">
        <f t="shared" si="39"/>
        <v>HW</v>
      </c>
      <c r="R79" s="3" t="str">
        <f t="shared" si="40"/>
        <v>HL</v>
      </c>
      <c r="S79" s="3" t="str">
        <f t="shared" si="41"/>
        <v>HW</v>
      </c>
      <c r="T79" s="3" t="str">
        <f t="shared" si="42"/>
        <v>HL</v>
      </c>
      <c r="U79" s="3" t="str">
        <f t="shared" si="43"/>
        <v>O</v>
      </c>
      <c r="V79" s="3" t="str">
        <f t="shared" si="44"/>
        <v>U</v>
      </c>
      <c r="W79" s="3" t="str">
        <f t="shared" si="45"/>
        <v>U</v>
      </c>
      <c r="X79" s="3" t="str">
        <f t="shared" si="46"/>
        <v>O</v>
      </c>
      <c r="Z79" s="3">
        <v>54.5</v>
      </c>
      <c r="AB79" s="3" t="str">
        <f t="shared" si="47"/>
        <v>DET/BKN</v>
      </c>
      <c r="AC79" s="3">
        <f t="shared" si="35"/>
        <v>2</v>
      </c>
      <c r="AD79" s="3">
        <f t="shared" si="36"/>
        <v>2</v>
      </c>
    </row>
    <row r="80" spans="1:30" ht="17.100000000000001" x14ac:dyDescent="0.45">
      <c r="A80" s="3">
        <v>191103</v>
      </c>
      <c r="B80" s="44">
        <v>0.33333333333333331</v>
      </c>
      <c r="C80" s="3" t="s">
        <v>130</v>
      </c>
      <c r="D80" s="3" t="s">
        <v>125</v>
      </c>
      <c r="E80" s="3">
        <v>26</v>
      </c>
      <c r="F80" s="3">
        <v>19</v>
      </c>
      <c r="G80" s="3">
        <v>18</v>
      </c>
      <c r="H80" s="3">
        <v>24</v>
      </c>
      <c r="J80" s="3">
        <v>17</v>
      </c>
      <c r="K80" s="3">
        <v>23</v>
      </c>
      <c r="L80" s="3">
        <v>29</v>
      </c>
      <c r="M80" s="3">
        <v>22</v>
      </c>
      <c r="O80" s="3">
        <f t="shared" si="37"/>
        <v>87</v>
      </c>
      <c r="P80" s="3">
        <f t="shared" si="38"/>
        <v>91</v>
      </c>
      <c r="Q80" s="3" t="str">
        <f t="shared" si="39"/>
        <v>HW</v>
      </c>
      <c r="R80" s="3" t="str">
        <f t="shared" si="40"/>
        <v>HL</v>
      </c>
      <c r="S80" s="3" t="str">
        <f t="shared" si="41"/>
        <v>HL</v>
      </c>
      <c r="T80" s="3" t="str">
        <f t="shared" si="42"/>
        <v>HW</v>
      </c>
      <c r="U80" s="3" t="str">
        <f t="shared" si="43"/>
        <v>U</v>
      </c>
      <c r="V80" s="3" t="str">
        <f t="shared" si="44"/>
        <v>U</v>
      </c>
      <c r="W80" s="3" t="str">
        <f t="shared" si="45"/>
        <v>U</v>
      </c>
      <c r="X80" s="3" t="str">
        <f t="shared" si="46"/>
        <v>U</v>
      </c>
      <c r="Z80" s="3">
        <v>52.5</v>
      </c>
      <c r="AB80" s="3" t="str">
        <f t="shared" si="47"/>
        <v>ORL/DEN</v>
      </c>
      <c r="AC80" s="3">
        <f t="shared" si="35"/>
        <v>0</v>
      </c>
      <c r="AD80" s="3">
        <f t="shared" si="36"/>
        <v>4</v>
      </c>
    </row>
    <row r="81" spans="1:30" ht="17.100000000000001" x14ac:dyDescent="0.45">
      <c r="A81" s="3">
        <v>191103</v>
      </c>
      <c r="B81" s="44">
        <v>0.375</v>
      </c>
      <c r="C81" s="3" t="s">
        <v>131</v>
      </c>
      <c r="D81" s="3" t="s">
        <v>143</v>
      </c>
      <c r="E81" s="3">
        <v>36</v>
      </c>
      <c r="F81" s="3">
        <v>30</v>
      </c>
      <c r="G81" s="3">
        <v>29</v>
      </c>
      <c r="H81" s="3">
        <v>20</v>
      </c>
      <c r="J81" s="3">
        <v>17</v>
      </c>
      <c r="K81" s="3">
        <v>33</v>
      </c>
      <c r="L81" s="3">
        <v>40</v>
      </c>
      <c r="M81" s="3">
        <v>15</v>
      </c>
      <c r="O81" s="3">
        <f t="shared" si="37"/>
        <v>115</v>
      </c>
      <c r="P81" s="3">
        <f t="shared" si="38"/>
        <v>105</v>
      </c>
      <c r="Q81" s="3" t="str">
        <f t="shared" si="39"/>
        <v>HW</v>
      </c>
      <c r="R81" s="3" t="str">
        <f t="shared" si="40"/>
        <v>HL</v>
      </c>
      <c r="S81" s="3" t="str">
        <f t="shared" si="41"/>
        <v>HL</v>
      </c>
      <c r="T81" s="3" t="str">
        <f t="shared" si="42"/>
        <v>HW</v>
      </c>
      <c r="U81" s="3" t="str">
        <f t="shared" si="43"/>
        <v>U</v>
      </c>
      <c r="V81" s="3" t="str">
        <f t="shared" si="44"/>
        <v>O</v>
      </c>
      <c r="W81" s="3" t="str">
        <f t="shared" si="45"/>
        <v>O</v>
      </c>
      <c r="X81" s="3" t="str">
        <f t="shared" si="46"/>
        <v>U</v>
      </c>
      <c r="Z81" s="3">
        <v>58</v>
      </c>
      <c r="AB81" s="3" t="str">
        <f t="shared" si="47"/>
        <v>MIL/TOR</v>
      </c>
      <c r="AC81" s="3">
        <f t="shared" si="35"/>
        <v>2</v>
      </c>
      <c r="AD81" s="3">
        <f t="shared" si="36"/>
        <v>2</v>
      </c>
    </row>
    <row r="82" spans="1:30" ht="17.100000000000001" x14ac:dyDescent="0.45">
      <c r="A82" s="3">
        <v>191103</v>
      </c>
      <c r="B82" s="44">
        <v>0.375</v>
      </c>
      <c r="C82" s="3" t="s">
        <v>144</v>
      </c>
      <c r="D82" s="3" t="s">
        <v>145</v>
      </c>
      <c r="E82" s="3">
        <v>34</v>
      </c>
      <c r="F82" s="3">
        <v>22</v>
      </c>
      <c r="G82" s="3">
        <v>16</v>
      </c>
      <c r="H82" s="3">
        <v>37</v>
      </c>
      <c r="J82" s="3">
        <v>42</v>
      </c>
      <c r="K82" s="3">
        <v>28</v>
      </c>
      <c r="L82" s="3">
        <v>36</v>
      </c>
      <c r="M82" s="3">
        <v>25</v>
      </c>
      <c r="O82" s="3">
        <f t="shared" si="37"/>
        <v>109</v>
      </c>
      <c r="P82" s="3">
        <f t="shared" si="38"/>
        <v>131</v>
      </c>
      <c r="Q82" s="3" t="str">
        <f t="shared" si="39"/>
        <v>HL</v>
      </c>
      <c r="R82" s="3" t="str">
        <f t="shared" si="40"/>
        <v>HL</v>
      </c>
      <c r="S82" s="3" t="str">
        <f t="shared" si="41"/>
        <v>HL</v>
      </c>
      <c r="T82" s="3" t="str">
        <f t="shared" si="42"/>
        <v>HW</v>
      </c>
      <c r="U82" s="3" t="str">
        <f t="shared" si="43"/>
        <v>O</v>
      </c>
      <c r="V82" s="3" t="str">
        <f t="shared" si="44"/>
        <v>U</v>
      </c>
      <c r="W82" s="3" t="str">
        <f t="shared" si="45"/>
        <v>U</v>
      </c>
      <c r="X82" s="3" t="str">
        <f t="shared" si="46"/>
        <v>O</v>
      </c>
      <c r="Z82" s="3">
        <v>58.5</v>
      </c>
      <c r="AB82" s="3" t="str">
        <f t="shared" si="47"/>
        <v>WAS/MIN</v>
      </c>
      <c r="AC82" s="3">
        <f t="shared" si="35"/>
        <v>2</v>
      </c>
      <c r="AD82" s="3">
        <f t="shared" si="36"/>
        <v>2</v>
      </c>
    </row>
    <row r="83" spans="1:30" ht="17.100000000000001" x14ac:dyDescent="0.45">
      <c r="A83" s="3">
        <v>191103</v>
      </c>
      <c r="B83" s="44">
        <v>0.375</v>
      </c>
      <c r="C83" s="3" t="s">
        <v>146</v>
      </c>
      <c r="D83" s="3" t="s">
        <v>147</v>
      </c>
      <c r="E83" s="3">
        <v>24</v>
      </c>
      <c r="F83" s="3">
        <v>23</v>
      </c>
      <c r="G83" s="3">
        <v>22</v>
      </c>
      <c r="H83" s="3">
        <v>36</v>
      </c>
      <c r="J83" s="3">
        <v>31</v>
      </c>
      <c r="K83" s="3">
        <v>14</v>
      </c>
      <c r="L83" s="3">
        <v>37</v>
      </c>
      <c r="M83" s="3">
        <v>32</v>
      </c>
      <c r="O83" s="3">
        <f t="shared" si="37"/>
        <v>105</v>
      </c>
      <c r="P83" s="3">
        <f t="shared" si="38"/>
        <v>114</v>
      </c>
      <c r="Q83" s="3" t="str">
        <f t="shared" si="39"/>
        <v>HL</v>
      </c>
      <c r="R83" s="3" t="str">
        <f t="shared" si="40"/>
        <v>HW</v>
      </c>
      <c r="S83" s="3" t="str">
        <f t="shared" si="41"/>
        <v>HL</v>
      </c>
      <c r="T83" s="3" t="str">
        <f t="shared" si="42"/>
        <v>HW</v>
      </c>
      <c r="U83" s="3" t="str">
        <f t="shared" si="43"/>
        <v>O</v>
      </c>
      <c r="V83" s="3" t="str">
        <f t="shared" si="44"/>
        <v>U</v>
      </c>
      <c r="W83" s="3" t="str">
        <f t="shared" si="45"/>
        <v>O</v>
      </c>
      <c r="X83" s="3" t="str">
        <f t="shared" si="46"/>
        <v>O</v>
      </c>
      <c r="Z83" s="3">
        <v>54</v>
      </c>
      <c r="AB83" s="3" t="str">
        <f t="shared" si="47"/>
        <v>MEM/PHO</v>
      </c>
      <c r="AC83" s="3">
        <f t="shared" si="35"/>
        <v>3</v>
      </c>
      <c r="AD83" s="3">
        <f t="shared" si="36"/>
        <v>1</v>
      </c>
    </row>
    <row r="84" spans="1:30" ht="17.100000000000001" x14ac:dyDescent="0.45">
      <c r="A84" s="3">
        <v>191103</v>
      </c>
      <c r="B84" s="44">
        <v>0.39583333333333331</v>
      </c>
      <c r="C84" s="3" t="s">
        <v>140</v>
      </c>
      <c r="D84" s="3" t="s">
        <v>148</v>
      </c>
      <c r="E84" s="3">
        <v>30</v>
      </c>
      <c r="F84" s="3">
        <v>25</v>
      </c>
      <c r="G84" s="3">
        <v>16</v>
      </c>
      <c r="H84" s="3">
        <v>16</v>
      </c>
      <c r="J84" s="3">
        <v>25</v>
      </c>
      <c r="K84" s="3">
        <v>25</v>
      </c>
      <c r="L84" s="3">
        <v>18</v>
      </c>
      <c r="M84" s="3">
        <v>25</v>
      </c>
      <c r="O84" s="3">
        <f t="shared" si="37"/>
        <v>87</v>
      </c>
      <c r="P84" s="3">
        <f t="shared" si="38"/>
        <v>93</v>
      </c>
      <c r="Q84" s="3" t="str">
        <f t="shared" si="39"/>
        <v>HW</v>
      </c>
      <c r="R84" s="3" t="str">
        <f t="shared" si="40"/>
        <v>TT</v>
      </c>
      <c r="S84" s="3" t="str">
        <f t="shared" si="41"/>
        <v>HL</v>
      </c>
      <c r="T84" s="3" t="str">
        <f t="shared" si="42"/>
        <v>HL</v>
      </c>
      <c r="U84" s="3" t="str">
        <f t="shared" si="43"/>
        <v>U</v>
      </c>
      <c r="V84" s="3" t="str">
        <f t="shared" si="44"/>
        <v>U</v>
      </c>
      <c r="W84" s="3" t="str">
        <f t="shared" si="45"/>
        <v>U</v>
      </c>
      <c r="X84" s="3" t="str">
        <f t="shared" si="46"/>
        <v>U</v>
      </c>
      <c r="Z84" s="3">
        <v>56.5</v>
      </c>
      <c r="AB84" s="3" t="str">
        <f t="shared" si="47"/>
        <v>GS/CHA</v>
      </c>
      <c r="AC84" s="3">
        <f t="shared" si="35"/>
        <v>0</v>
      </c>
      <c r="AD84" s="3">
        <f t="shared" si="36"/>
        <v>4</v>
      </c>
    </row>
    <row r="85" spans="1:30" ht="17.100000000000001" x14ac:dyDescent="0.45">
      <c r="A85" s="3">
        <v>191103</v>
      </c>
      <c r="B85" s="44">
        <v>0.45833333333333331</v>
      </c>
      <c r="C85" s="3" t="s">
        <v>149</v>
      </c>
      <c r="D85" s="3" t="s">
        <v>150</v>
      </c>
      <c r="E85" s="3">
        <v>32</v>
      </c>
      <c r="F85" s="3">
        <v>36</v>
      </c>
      <c r="G85" s="3">
        <v>34</v>
      </c>
      <c r="H85" s="3">
        <v>26</v>
      </c>
      <c r="J85" s="3">
        <v>27</v>
      </c>
      <c r="K85" s="3">
        <v>30</v>
      </c>
      <c r="L85" s="3">
        <v>35</v>
      </c>
      <c r="M85" s="3">
        <v>37</v>
      </c>
      <c r="O85" s="3">
        <f t="shared" si="37"/>
        <v>128</v>
      </c>
      <c r="P85" s="3">
        <f t="shared" si="38"/>
        <v>129</v>
      </c>
      <c r="Q85" s="3" t="str">
        <f t="shared" si="39"/>
        <v>HW</v>
      </c>
      <c r="R85" s="3" t="str">
        <f t="shared" si="40"/>
        <v>HW</v>
      </c>
      <c r="S85" s="3" t="str">
        <f t="shared" si="41"/>
        <v>HL</v>
      </c>
      <c r="T85" s="3" t="str">
        <f t="shared" si="42"/>
        <v>HL</v>
      </c>
      <c r="U85" s="3" t="str">
        <f t="shared" si="43"/>
        <v>O</v>
      </c>
      <c r="V85" s="3" t="str">
        <f t="shared" si="44"/>
        <v>O</v>
      </c>
      <c r="W85" s="3" t="str">
        <f t="shared" si="45"/>
        <v>O</v>
      </c>
      <c r="X85" s="3" t="str">
        <f t="shared" si="46"/>
        <v>O</v>
      </c>
      <c r="Z85" s="3">
        <v>57.5</v>
      </c>
      <c r="AB85" s="3" t="str">
        <f t="shared" si="47"/>
        <v>POR/PHI</v>
      </c>
      <c r="AC85" s="3">
        <f t="shared" si="35"/>
        <v>4</v>
      </c>
      <c r="AD85" s="3">
        <f t="shared" si="36"/>
        <v>0</v>
      </c>
    </row>
    <row r="86" spans="1:30" ht="17.100000000000001" x14ac:dyDescent="0.45">
      <c r="A86" s="3">
        <v>191104</v>
      </c>
      <c r="B86" s="44">
        <v>0.29166666666666669</v>
      </c>
      <c r="C86" s="3" t="s">
        <v>128</v>
      </c>
      <c r="D86" s="3" t="s">
        <v>134</v>
      </c>
      <c r="E86" s="3">
        <v>24</v>
      </c>
      <c r="F86" s="3">
        <v>31</v>
      </c>
      <c r="G86" s="3">
        <v>31</v>
      </c>
      <c r="H86" s="3">
        <v>22</v>
      </c>
      <c r="J86" s="3">
        <v>18</v>
      </c>
      <c r="K86" s="3">
        <v>24</v>
      </c>
      <c r="L86" s="3">
        <v>32</v>
      </c>
      <c r="M86" s="3">
        <v>21</v>
      </c>
      <c r="O86" s="3">
        <f t="shared" si="37"/>
        <v>108</v>
      </c>
      <c r="P86" s="3">
        <f t="shared" si="38"/>
        <v>95</v>
      </c>
      <c r="Q86" s="3" t="str">
        <f t="shared" si="39"/>
        <v>HW</v>
      </c>
      <c r="R86" s="3" t="str">
        <f t="shared" si="40"/>
        <v>HW</v>
      </c>
      <c r="S86" s="3" t="str">
        <f t="shared" si="41"/>
        <v>HL</v>
      </c>
      <c r="T86" s="3" t="str">
        <f t="shared" si="42"/>
        <v>HW</v>
      </c>
      <c r="U86" s="3" t="str">
        <f t="shared" si="43"/>
        <v>U</v>
      </c>
      <c r="V86" s="3" t="str">
        <f t="shared" si="44"/>
        <v>O</v>
      </c>
      <c r="W86" s="3" t="str">
        <f t="shared" si="45"/>
        <v>O</v>
      </c>
      <c r="X86" s="3" t="str">
        <f t="shared" si="46"/>
        <v>U</v>
      </c>
      <c r="Z86" s="3">
        <v>52.5</v>
      </c>
      <c r="AB86" s="3" t="str">
        <f t="shared" si="47"/>
        <v>IND/CHI</v>
      </c>
      <c r="AC86" s="3">
        <f t="shared" si="35"/>
        <v>2</v>
      </c>
      <c r="AD86" s="3">
        <f t="shared" si="36"/>
        <v>2</v>
      </c>
    </row>
    <row r="87" spans="1:30" ht="17.100000000000001" x14ac:dyDescent="0.45">
      <c r="A87" s="3">
        <v>191104</v>
      </c>
      <c r="B87" s="44">
        <v>0.33333333333333331</v>
      </c>
      <c r="C87" s="3" t="s">
        <v>123</v>
      </c>
      <c r="D87" s="3" t="s">
        <v>151</v>
      </c>
      <c r="E87" s="3">
        <v>46</v>
      </c>
      <c r="F87" s="3">
        <v>25</v>
      </c>
      <c r="G87" s="3">
        <v>28</v>
      </c>
      <c r="H87" s="3">
        <v>30</v>
      </c>
      <c r="J87" s="3">
        <v>14</v>
      </c>
      <c r="K87" s="3">
        <v>32</v>
      </c>
      <c r="L87" s="3">
        <v>25</v>
      </c>
      <c r="M87" s="3">
        <v>29</v>
      </c>
      <c r="O87" s="3">
        <f t="shared" si="37"/>
        <v>129</v>
      </c>
      <c r="P87" s="3">
        <f t="shared" si="38"/>
        <v>100</v>
      </c>
      <c r="Q87" s="3" t="str">
        <f t="shared" si="39"/>
        <v>HW</v>
      </c>
      <c r="R87" s="3" t="str">
        <f t="shared" si="40"/>
        <v>HL</v>
      </c>
      <c r="S87" s="3" t="str">
        <f t="shared" si="41"/>
        <v>HW</v>
      </c>
      <c r="T87" s="3" t="str">
        <f t="shared" si="42"/>
        <v>HW</v>
      </c>
      <c r="U87" s="3" t="str">
        <f t="shared" si="43"/>
        <v>O</v>
      </c>
      <c r="V87" s="3" t="str">
        <f t="shared" si="44"/>
        <v>U</v>
      </c>
      <c r="W87" s="3" t="str">
        <f t="shared" si="45"/>
        <v>U</v>
      </c>
      <c r="X87" s="3" t="str">
        <f t="shared" si="46"/>
        <v>U</v>
      </c>
      <c r="Z87" s="3">
        <v>59.5</v>
      </c>
      <c r="AB87" s="3" t="str">
        <f t="shared" si="47"/>
        <v>MIA/HOU</v>
      </c>
      <c r="AC87" s="3">
        <f t="shared" si="35"/>
        <v>1</v>
      </c>
      <c r="AD87" s="3">
        <f t="shared" si="36"/>
        <v>3</v>
      </c>
    </row>
    <row r="88" spans="1:30" ht="17.100000000000001" x14ac:dyDescent="0.45">
      <c r="A88" s="3">
        <v>191104</v>
      </c>
      <c r="B88" s="44">
        <v>0.33333333333333331</v>
      </c>
      <c r="C88" s="3" t="s">
        <v>133</v>
      </c>
      <c r="D88" s="3" t="s">
        <v>138</v>
      </c>
      <c r="E88" s="3">
        <v>23</v>
      </c>
      <c r="F88" s="3">
        <v>18</v>
      </c>
      <c r="G88" s="3">
        <v>23</v>
      </c>
      <c r="H88" s="3">
        <v>28</v>
      </c>
      <c r="J88" s="3">
        <v>32</v>
      </c>
      <c r="K88" s="3">
        <v>29</v>
      </c>
      <c r="L88" s="3">
        <v>29</v>
      </c>
      <c r="M88" s="3">
        <v>23</v>
      </c>
      <c r="O88" s="3">
        <f t="shared" si="37"/>
        <v>92</v>
      </c>
      <c r="P88" s="3">
        <f t="shared" si="38"/>
        <v>113</v>
      </c>
      <c r="Q88" s="3" t="str">
        <f t="shared" si="39"/>
        <v>HL</v>
      </c>
      <c r="R88" s="3" t="str">
        <f t="shared" si="40"/>
        <v>HL</v>
      </c>
      <c r="S88" s="3" t="str">
        <f t="shared" si="41"/>
        <v>HL</v>
      </c>
      <c r="T88" s="3" t="str">
        <f t="shared" si="42"/>
        <v>HW</v>
      </c>
      <c r="U88" s="3" t="str">
        <f t="shared" si="43"/>
        <v>O</v>
      </c>
      <c r="V88" s="3" t="str">
        <f t="shared" si="44"/>
        <v>U</v>
      </c>
      <c r="W88" s="3" t="str">
        <f t="shared" si="45"/>
        <v>U</v>
      </c>
      <c r="X88" s="3" t="str">
        <f t="shared" si="46"/>
        <v>U</v>
      </c>
      <c r="Z88" s="3">
        <v>54</v>
      </c>
      <c r="AB88" s="3" t="str">
        <f t="shared" si="47"/>
        <v>NYK/SAC</v>
      </c>
      <c r="AC88" s="3">
        <f t="shared" si="35"/>
        <v>1</v>
      </c>
      <c r="AD88" s="3">
        <f t="shared" si="36"/>
        <v>3</v>
      </c>
    </row>
    <row r="89" spans="1:30" ht="17.100000000000001" x14ac:dyDescent="0.45">
      <c r="A89" s="3">
        <v>191104</v>
      </c>
      <c r="B89" s="44">
        <v>0.375</v>
      </c>
      <c r="C89" s="3" t="s">
        <v>127</v>
      </c>
      <c r="D89" s="3" t="s">
        <v>137</v>
      </c>
      <c r="E89" s="3">
        <v>25</v>
      </c>
      <c r="F89" s="3">
        <v>18</v>
      </c>
      <c r="G89" s="3">
        <v>29</v>
      </c>
      <c r="H89" s="3">
        <v>24</v>
      </c>
      <c r="J89" s="3">
        <v>26</v>
      </c>
      <c r="K89" s="3">
        <v>30</v>
      </c>
      <c r="L89" s="3">
        <v>21</v>
      </c>
      <c r="M89" s="3">
        <v>26</v>
      </c>
      <c r="O89" s="3">
        <f t="shared" si="37"/>
        <v>96</v>
      </c>
      <c r="P89" s="3">
        <f t="shared" si="38"/>
        <v>103</v>
      </c>
      <c r="Q89" s="3" t="str">
        <f t="shared" si="39"/>
        <v>HL</v>
      </c>
      <c r="R89" s="3" t="str">
        <f t="shared" si="40"/>
        <v>HL</v>
      </c>
      <c r="S89" s="3" t="str">
        <f t="shared" si="41"/>
        <v>HW</v>
      </c>
      <c r="T89" s="3" t="str">
        <f t="shared" si="42"/>
        <v>HL</v>
      </c>
      <c r="U89" s="3" t="str">
        <f t="shared" si="43"/>
        <v>U</v>
      </c>
      <c r="V89" s="3" t="str">
        <f t="shared" si="44"/>
        <v>U</v>
      </c>
      <c r="W89" s="3" t="str">
        <f t="shared" si="45"/>
        <v>U</v>
      </c>
      <c r="X89" s="3" t="str">
        <f t="shared" si="46"/>
        <v>U</v>
      </c>
      <c r="Z89" s="3">
        <v>55.5</v>
      </c>
      <c r="AB89" s="3" t="str">
        <f t="shared" si="47"/>
        <v>SAS/LAL</v>
      </c>
      <c r="AC89" s="3">
        <f t="shared" si="35"/>
        <v>0</v>
      </c>
      <c r="AD89" s="3">
        <f t="shared" si="36"/>
        <v>4</v>
      </c>
    </row>
    <row r="90" spans="1:30" ht="17.100000000000001" x14ac:dyDescent="0.45">
      <c r="A90" s="3">
        <v>191104</v>
      </c>
      <c r="B90" s="44">
        <v>0.39583333333333331</v>
      </c>
      <c r="C90" s="3" t="s">
        <v>129</v>
      </c>
      <c r="D90" s="3" t="s">
        <v>136</v>
      </c>
      <c r="E90" s="3">
        <v>28</v>
      </c>
      <c r="F90" s="3">
        <v>25</v>
      </c>
      <c r="G90" s="3">
        <v>33</v>
      </c>
      <c r="H90" s="3">
        <v>25</v>
      </c>
      <c r="J90" s="3">
        <v>31</v>
      </c>
      <c r="K90" s="3">
        <v>27</v>
      </c>
      <c r="L90" s="3">
        <v>32</v>
      </c>
      <c r="M90" s="3">
        <v>41</v>
      </c>
      <c r="O90" s="3">
        <f t="shared" si="37"/>
        <v>111</v>
      </c>
      <c r="P90" s="3">
        <f t="shared" si="38"/>
        <v>131</v>
      </c>
      <c r="Q90" s="3" t="str">
        <f t="shared" si="39"/>
        <v>HL</v>
      </c>
      <c r="R90" s="3" t="str">
        <f t="shared" si="40"/>
        <v>HL</v>
      </c>
      <c r="S90" s="3" t="str">
        <f t="shared" si="41"/>
        <v>HW</v>
      </c>
      <c r="T90" s="3" t="str">
        <f t="shared" si="42"/>
        <v>HL</v>
      </c>
      <c r="U90" s="3" t="str">
        <f t="shared" si="43"/>
        <v>O</v>
      </c>
      <c r="V90" s="3" t="str">
        <f t="shared" si="44"/>
        <v>U</v>
      </c>
      <c r="W90" s="3" t="str">
        <f t="shared" si="45"/>
        <v>O</v>
      </c>
      <c r="X90" s="3" t="str">
        <f t="shared" si="46"/>
        <v>O</v>
      </c>
      <c r="Z90" s="3">
        <v>55.5</v>
      </c>
      <c r="AB90" s="3" t="str">
        <f t="shared" si="47"/>
        <v>CLE/DAL</v>
      </c>
      <c r="AC90" s="3">
        <f t="shared" si="35"/>
        <v>3</v>
      </c>
      <c r="AD90" s="3">
        <f t="shared" si="36"/>
        <v>1</v>
      </c>
    </row>
    <row r="91" spans="1:30" ht="17.100000000000001" x14ac:dyDescent="0.45">
      <c r="A91" s="3">
        <v>191104</v>
      </c>
      <c r="B91" s="44">
        <v>0.45833333333333331</v>
      </c>
      <c r="C91" s="3" t="s">
        <v>126</v>
      </c>
      <c r="D91" s="3" t="s">
        <v>139</v>
      </c>
      <c r="E91" s="3">
        <v>16</v>
      </c>
      <c r="F91" s="3">
        <v>23</v>
      </c>
      <c r="G91" s="3">
        <v>26</v>
      </c>
      <c r="H91" s="3">
        <v>40</v>
      </c>
      <c r="J91" s="3">
        <v>20</v>
      </c>
      <c r="K91" s="3">
        <v>21</v>
      </c>
      <c r="L91" s="3">
        <v>28</v>
      </c>
      <c r="M91" s="3">
        <v>25</v>
      </c>
      <c r="O91" s="3">
        <f t="shared" si="37"/>
        <v>105</v>
      </c>
      <c r="P91" s="3">
        <f t="shared" si="38"/>
        <v>94</v>
      </c>
      <c r="Q91" s="3" t="str">
        <f t="shared" si="39"/>
        <v>HL</v>
      </c>
      <c r="R91" s="3" t="str">
        <f t="shared" si="40"/>
        <v>HW</v>
      </c>
      <c r="S91" s="3" t="str">
        <f t="shared" si="41"/>
        <v>HL</v>
      </c>
      <c r="T91" s="3" t="str">
        <f t="shared" si="42"/>
        <v>HW</v>
      </c>
      <c r="U91" s="3" t="str">
        <f t="shared" si="43"/>
        <v>U</v>
      </c>
      <c r="V91" s="3" t="str">
        <f t="shared" si="44"/>
        <v>U</v>
      </c>
      <c r="W91" s="3" t="str">
        <f t="shared" si="45"/>
        <v>O</v>
      </c>
      <c r="X91" s="3" t="str">
        <f t="shared" si="46"/>
        <v>O</v>
      </c>
      <c r="Z91" s="3">
        <v>51.5</v>
      </c>
      <c r="AB91" s="3" t="str">
        <f t="shared" si="47"/>
        <v>LAC/UTA</v>
      </c>
      <c r="AC91" s="3">
        <f t="shared" si="35"/>
        <v>2</v>
      </c>
      <c r="AD91" s="3">
        <f t="shared" si="36"/>
        <v>2</v>
      </c>
    </row>
    <row r="92" spans="1:30" ht="17.100000000000001" x14ac:dyDescent="0.45">
      <c r="A92" s="3">
        <v>191105</v>
      </c>
      <c r="B92" s="44">
        <v>0.375</v>
      </c>
      <c r="C92" s="3" t="s">
        <v>144</v>
      </c>
      <c r="D92" s="3" t="s">
        <v>135</v>
      </c>
      <c r="E92" s="3">
        <v>31</v>
      </c>
      <c r="F92" s="3">
        <v>32</v>
      </c>
      <c r="G92" s="3">
        <v>30</v>
      </c>
      <c r="H92" s="3">
        <v>22</v>
      </c>
      <c r="J92" s="3">
        <v>30</v>
      </c>
      <c r="K92" s="3">
        <v>31</v>
      </c>
      <c r="L92" s="3">
        <v>17</v>
      </c>
      <c r="M92" s="3">
        <v>21</v>
      </c>
      <c r="O92" s="3">
        <f t="shared" si="37"/>
        <v>115</v>
      </c>
      <c r="P92" s="3">
        <f t="shared" si="38"/>
        <v>99</v>
      </c>
      <c r="Q92" s="3" t="str">
        <f t="shared" si="39"/>
        <v>HW</v>
      </c>
      <c r="R92" s="3" t="str">
        <f t="shared" si="40"/>
        <v>HW</v>
      </c>
      <c r="S92" s="3" t="str">
        <f t="shared" si="41"/>
        <v>HW</v>
      </c>
      <c r="T92" s="3" t="str">
        <f t="shared" si="42"/>
        <v>HW</v>
      </c>
      <c r="U92" s="3" t="str">
        <f t="shared" si="43"/>
        <v>O</v>
      </c>
      <c r="V92" s="3" t="str">
        <f t="shared" si="44"/>
        <v>O</v>
      </c>
      <c r="W92" s="3" t="str">
        <f t="shared" si="45"/>
        <v>U</v>
      </c>
      <c r="X92" s="3" t="str">
        <f t="shared" si="46"/>
        <v>U</v>
      </c>
      <c r="Z92" s="3">
        <v>58</v>
      </c>
      <c r="AB92" s="3" t="str">
        <f t="shared" si="47"/>
        <v>WAS/DET</v>
      </c>
      <c r="AC92" s="3">
        <f t="shared" si="35"/>
        <v>2</v>
      </c>
      <c r="AD92" s="3">
        <f t="shared" si="36"/>
        <v>2</v>
      </c>
    </row>
    <row r="93" spans="1:30" ht="17.100000000000001" x14ac:dyDescent="0.45">
      <c r="A93" s="3">
        <v>191105</v>
      </c>
      <c r="B93" s="44">
        <v>0.39583333333333331</v>
      </c>
      <c r="C93" s="3" t="s">
        <v>142</v>
      </c>
      <c r="D93" s="3" t="s">
        <v>124</v>
      </c>
      <c r="E93" s="3">
        <v>33</v>
      </c>
      <c r="F93" s="3">
        <v>34</v>
      </c>
      <c r="G93" s="3">
        <v>37</v>
      </c>
      <c r="H93" s="3">
        <v>31</v>
      </c>
      <c r="J93" s="3">
        <v>27</v>
      </c>
      <c r="K93" s="3">
        <v>23</v>
      </c>
      <c r="L93" s="3">
        <v>48</v>
      </c>
      <c r="M93" s="3">
        <v>27</v>
      </c>
      <c r="O93" s="3">
        <f t="shared" si="37"/>
        <v>135</v>
      </c>
      <c r="P93" s="3">
        <f t="shared" si="38"/>
        <v>125</v>
      </c>
      <c r="Q93" s="3" t="str">
        <f t="shared" si="39"/>
        <v>HW</v>
      </c>
      <c r="R93" s="3" t="str">
        <f t="shared" si="40"/>
        <v>HW</v>
      </c>
      <c r="S93" s="3" t="str">
        <f t="shared" si="41"/>
        <v>HL</v>
      </c>
      <c r="T93" s="3" t="str">
        <f t="shared" si="42"/>
        <v>HW</v>
      </c>
      <c r="U93" s="3" t="str">
        <f t="shared" si="43"/>
        <v>U</v>
      </c>
      <c r="V93" s="3" t="str">
        <f t="shared" si="44"/>
        <v>U</v>
      </c>
      <c r="W93" s="3" t="str">
        <f t="shared" si="45"/>
        <v>O</v>
      </c>
      <c r="X93" s="3" t="str">
        <f t="shared" si="46"/>
        <v>U</v>
      </c>
      <c r="Z93" s="3">
        <v>61.5</v>
      </c>
      <c r="AB93" s="3" t="str">
        <f t="shared" si="47"/>
        <v>BKN/NO</v>
      </c>
      <c r="AC93" s="3">
        <f t="shared" si="35"/>
        <v>1</v>
      </c>
      <c r="AD93" s="3">
        <f t="shared" si="36"/>
        <v>3</v>
      </c>
    </row>
    <row r="94" spans="1:30" ht="17.100000000000001" x14ac:dyDescent="0.45">
      <c r="A94" s="3">
        <v>191105</v>
      </c>
      <c r="B94" s="44">
        <v>0.41666666666666669</v>
      </c>
      <c r="C94" s="3" t="s">
        <v>145</v>
      </c>
      <c r="D94" s="3" t="s">
        <v>131</v>
      </c>
      <c r="E94" s="3">
        <v>27</v>
      </c>
      <c r="F94" s="3">
        <v>30</v>
      </c>
      <c r="G94" s="3">
        <v>25</v>
      </c>
      <c r="H94" s="3">
        <v>24</v>
      </c>
      <c r="J94" s="3">
        <v>31</v>
      </c>
      <c r="K94" s="3">
        <v>33</v>
      </c>
      <c r="L94" s="3">
        <v>38</v>
      </c>
      <c r="M94" s="3">
        <v>32</v>
      </c>
      <c r="O94" s="3">
        <f t="shared" si="37"/>
        <v>106</v>
      </c>
      <c r="P94" s="3">
        <f t="shared" si="38"/>
        <v>134</v>
      </c>
      <c r="Q94" s="3" t="str">
        <f t="shared" si="39"/>
        <v>HL</v>
      </c>
      <c r="R94" s="3" t="str">
        <f t="shared" si="40"/>
        <v>HL</v>
      </c>
      <c r="S94" s="3" t="str">
        <f t="shared" si="41"/>
        <v>HL</v>
      </c>
      <c r="T94" s="3" t="str">
        <f t="shared" si="42"/>
        <v>HL</v>
      </c>
      <c r="U94" s="3" t="str">
        <f t="shared" si="43"/>
        <v>O</v>
      </c>
      <c r="V94" s="3" t="str">
        <f t="shared" si="44"/>
        <v>O</v>
      </c>
      <c r="W94" s="3" t="str">
        <f t="shared" si="45"/>
        <v>O</v>
      </c>
      <c r="X94" s="3" t="str">
        <f t="shared" si="46"/>
        <v>O</v>
      </c>
      <c r="Z94" s="3">
        <v>55.5</v>
      </c>
      <c r="AB94" s="3" t="str">
        <f t="shared" si="47"/>
        <v>MIN/MIL</v>
      </c>
      <c r="AC94" s="3">
        <f t="shared" si="35"/>
        <v>4</v>
      </c>
      <c r="AD94" s="3">
        <f t="shared" si="36"/>
        <v>0</v>
      </c>
    </row>
    <row r="95" spans="1:30" ht="17.100000000000001" x14ac:dyDescent="0.45">
      <c r="A95" s="3">
        <v>191105</v>
      </c>
      <c r="B95" s="44">
        <v>0.41666666666666669</v>
      </c>
      <c r="C95" s="3" t="s">
        <v>146</v>
      </c>
      <c r="D95" s="3" t="s">
        <v>151</v>
      </c>
      <c r="E95" s="3">
        <v>28</v>
      </c>
      <c r="F95" s="3">
        <v>32</v>
      </c>
      <c r="G95" s="3">
        <v>16</v>
      </c>
      <c r="H95" s="3">
        <v>24</v>
      </c>
      <c r="J95" s="3">
        <v>33</v>
      </c>
      <c r="K95" s="3">
        <v>29</v>
      </c>
      <c r="L95" s="3">
        <v>22</v>
      </c>
      <c r="M95" s="3">
        <v>23</v>
      </c>
      <c r="O95" s="3">
        <f t="shared" si="37"/>
        <v>100</v>
      </c>
      <c r="P95" s="3">
        <f t="shared" si="38"/>
        <v>107</v>
      </c>
      <c r="Q95" s="3" t="str">
        <f t="shared" si="39"/>
        <v>HL</v>
      </c>
      <c r="R95" s="3" t="str">
        <f t="shared" si="40"/>
        <v>HW</v>
      </c>
      <c r="S95" s="3" t="str">
        <f t="shared" si="41"/>
        <v>HL</v>
      </c>
      <c r="T95" s="3" t="str">
        <f t="shared" si="42"/>
        <v>HW</v>
      </c>
      <c r="U95" s="3" t="str">
        <f t="shared" si="43"/>
        <v>O</v>
      </c>
      <c r="V95" s="3" t="str">
        <f t="shared" si="44"/>
        <v>O</v>
      </c>
      <c r="W95" s="3" t="str">
        <f t="shared" si="45"/>
        <v>U</v>
      </c>
      <c r="X95" s="3" t="str">
        <f t="shared" si="46"/>
        <v>U</v>
      </c>
      <c r="Z95" s="3">
        <v>59</v>
      </c>
      <c r="AB95" s="3" t="str">
        <f t="shared" si="47"/>
        <v>MEM/HOU</v>
      </c>
      <c r="AC95" s="3">
        <f t="shared" si="35"/>
        <v>2</v>
      </c>
      <c r="AD95" s="3">
        <f t="shared" si="36"/>
        <v>2</v>
      </c>
    </row>
    <row r="96" spans="1:30" ht="17.100000000000001" x14ac:dyDescent="0.45">
      <c r="A96" s="3">
        <v>191105</v>
      </c>
      <c r="B96" s="44">
        <v>0.45833333333333331</v>
      </c>
      <c r="C96" s="3" t="s">
        <v>147</v>
      </c>
      <c r="D96" s="3" t="s">
        <v>150</v>
      </c>
      <c r="E96" s="3">
        <v>29</v>
      </c>
      <c r="F96" s="3">
        <v>26</v>
      </c>
      <c r="G96" s="3">
        <v>26</v>
      </c>
      <c r="H96" s="3">
        <v>33</v>
      </c>
      <c r="J96" s="3">
        <v>31</v>
      </c>
      <c r="K96" s="3">
        <v>30</v>
      </c>
      <c r="L96" s="3">
        <v>21</v>
      </c>
      <c r="M96" s="3">
        <v>27</v>
      </c>
      <c r="O96" s="3">
        <f t="shared" si="37"/>
        <v>114</v>
      </c>
      <c r="P96" s="3">
        <f t="shared" si="38"/>
        <v>109</v>
      </c>
      <c r="Q96" s="3" t="str">
        <f t="shared" si="39"/>
        <v>HL</v>
      </c>
      <c r="R96" s="3" t="str">
        <f t="shared" si="40"/>
        <v>HL</v>
      </c>
      <c r="S96" s="3" t="str">
        <f t="shared" si="41"/>
        <v>HW</v>
      </c>
      <c r="T96" s="3" t="str">
        <f t="shared" si="42"/>
        <v>HW</v>
      </c>
      <c r="U96" s="3" t="str">
        <f t="shared" si="43"/>
        <v>O</v>
      </c>
      <c r="V96" s="3" t="str">
        <f t="shared" si="44"/>
        <v>U</v>
      </c>
      <c r="W96" s="3" t="str">
        <f t="shared" si="45"/>
        <v>U</v>
      </c>
      <c r="X96" s="3" t="str">
        <f t="shared" si="46"/>
        <v>O</v>
      </c>
      <c r="Z96" s="3">
        <v>57.5</v>
      </c>
      <c r="AB96" s="3" t="str">
        <f t="shared" si="47"/>
        <v>PHO/PHI</v>
      </c>
      <c r="AC96" s="3">
        <f t="shared" si="35"/>
        <v>2</v>
      </c>
      <c r="AD96" s="3">
        <f t="shared" si="36"/>
        <v>2</v>
      </c>
    </row>
    <row r="97" spans="1:30" ht="17.100000000000001" x14ac:dyDescent="0.45">
      <c r="A97" s="3">
        <v>191105</v>
      </c>
      <c r="B97" s="44">
        <v>0.52083333333333337</v>
      </c>
      <c r="C97" s="3" t="s">
        <v>140</v>
      </c>
      <c r="D97" s="3" t="s">
        <v>149</v>
      </c>
      <c r="E97" s="3">
        <v>34</v>
      </c>
      <c r="F97" s="3">
        <v>26</v>
      </c>
      <c r="G97" s="3">
        <v>27</v>
      </c>
      <c r="H97" s="3">
        <v>40</v>
      </c>
      <c r="J97" s="3">
        <v>32</v>
      </c>
      <c r="K97" s="3">
        <v>31</v>
      </c>
      <c r="L97" s="3">
        <v>20</v>
      </c>
      <c r="M97" s="3">
        <v>35</v>
      </c>
      <c r="O97" s="3">
        <f t="shared" si="37"/>
        <v>127</v>
      </c>
      <c r="P97" s="3">
        <f t="shared" si="38"/>
        <v>118</v>
      </c>
      <c r="Q97" s="3" t="str">
        <f t="shared" si="39"/>
        <v>HW</v>
      </c>
      <c r="R97" s="3" t="str">
        <f t="shared" si="40"/>
        <v>HL</v>
      </c>
      <c r="S97" s="3" t="str">
        <f t="shared" si="41"/>
        <v>HW</v>
      </c>
      <c r="T97" s="3" t="str">
        <f t="shared" si="42"/>
        <v>HW</v>
      </c>
      <c r="U97" s="3" t="str">
        <f t="shared" si="43"/>
        <v>O</v>
      </c>
      <c r="V97" s="3" t="str">
        <f t="shared" si="44"/>
        <v>O</v>
      </c>
      <c r="W97" s="3" t="str">
        <f t="shared" si="45"/>
        <v>U</v>
      </c>
      <c r="X97" s="3" t="str">
        <f t="shared" si="46"/>
        <v>O</v>
      </c>
      <c r="Z97" s="3">
        <v>53.5</v>
      </c>
      <c r="AB97" s="3" t="str">
        <f t="shared" si="47"/>
        <v>GS/POR</v>
      </c>
      <c r="AC97" s="3">
        <f t="shared" si="35"/>
        <v>3</v>
      </c>
      <c r="AD97" s="3">
        <f t="shared" si="36"/>
        <v>1</v>
      </c>
    </row>
    <row r="98" spans="1:30" ht="17.100000000000001" x14ac:dyDescent="0.45">
      <c r="A98" s="3">
        <v>191106</v>
      </c>
      <c r="B98" s="44">
        <v>0.375</v>
      </c>
      <c r="C98" s="3" t="s">
        <v>129</v>
      </c>
      <c r="D98" s="3" t="s">
        <v>132</v>
      </c>
      <c r="E98" s="3">
        <v>24</v>
      </c>
      <c r="F98" s="3">
        <v>28</v>
      </c>
      <c r="G98" s="3">
        <v>31</v>
      </c>
      <c r="H98" s="3">
        <v>30</v>
      </c>
      <c r="J98" s="3">
        <v>32</v>
      </c>
      <c r="K98" s="3">
        <v>29</v>
      </c>
      <c r="L98" s="3">
        <v>28</v>
      </c>
      <c r="M98" s="3">
        <v>30</v>
      </c>
      <c r="O98" s="3">
        <f t="shared" si="37"/>
        <v>113</v>
      </c>
      <c r="P98" s="3">
        <f t="shared" si="38"/>
        <v>119</v>
      </c>
      <c r="Q98" s="3" t="str">
        <f t="shared" si="39"/>
        <v>HL</v>
      </c>
      <c r="R98" s="3" t="str">
        <f t="shared" si="40"/>
        <v>HL</v>
      </c>
      <c r="S98" s="3" t="str">
        <f t="shared" si="41"/>
        <v>HW</v>
      </c>
      <c r="T98" s="3" t="str">
        <f t="shared" si="42"/>
        <v>TT</v>
      </c>
      <c r="U98" s="3" t="str">
        <f t="shared" si="43"/>
        <v>O</v>
      </c>
      <c r="V98" s="3" t="str">
        <f t="shared" si="44"/>
        <v>O</v>
      </c>
      <c r="W98" s="3" t="str">
        <f t="shared" si="45"/>
        <v>O</v>
      </c>
      <c r="X98" s="3" t="str">
        <f t="shared" si="46"/>
        <v>O</v>
      </c>
      <c r="Z98" s="3">
        <v>52</v>
      </c>
      <c r="AB98" s="3" t="str">
        <f t="shared" si="47"/>
        <v>CLE/BOS</v>
      </c>
      <c r="AC98" s="3">
        <f t="shared" si="35"/>
        <v>4</v>
      </c>
      <c r="AD98" s="3">
        <f t="shared" si="36"/>
        <v>0</v>
      </c>
    </row>
    <row r="99" spans="1:30" ht="17.100000000000001" x14ac:dyDescent="0.45">
      <c r="A99" s="3">
        <v>191106</v>
      </c>
      <c r="B99" s="44">
        <v>0.375</v>
      </c>
      <c r="C99" s="3" t="s">
        <v>148</v>
      </c>
      <c r="D99" s="3" t="s">
        <v>128</v>
      </c>
      <c r="E99" s="3">
        <v>20</v>
      </c>
      <c r="F99" s="3">
        <v>37</v>
      </c>
      <c r="G99" s="3">
        <v>21</v>
      </c>
      <c r="H99" s="3">
        <v>35</v>
      </c>
      <c r="I99" s="3">
        <v>9</v>
      </c>
      <c r="J99" s="3">
        <v>35</v>
      </c>
      <c r="K99" s="3">
        <v>29</v>
      </c>
      <c r="L99" s="3">
        <v>28</v>
      </c>
      <c r="M99" s="3">
        <v>21</v>
      </c>
      <c r="O99" s="3">
        <f t="shared" si="37"/>
        <v>122</v>
      </c>
      <c r="P99" s="3">
        <f t="shared" si="38"/>
        <v>113</v>
      </c>
      <c r="Q99" s="3" t="str">
        <f t="shared" si="39"/>
        <v>HL</v>
      </c>
      <c r="R99" s="3" t="str">
        <f t="shared" si="40"/>
        <v>HW</v>
      </c>
      <c r="S99" s="3" t="str">
        <f t="shared" si="41"/>
        <v>HL</v>
      </c>
      <c r="T99" s="3" t="str">
        <f t="shared" si="42"/>
        <v>HW</v>
      </c>
      <c r="U99" s="3" t="str">
        <f t="shared" si="43"/>
        <v>O</v>
      </c>
      <c r="V99" s="3" t="str">
        <f t="shared" si="44"/>
        <v>O</v>
      </c>
      <c r="W99" s="3" t="str">
        <f t="shared" si="45"/>
        <v>U</v>
      </c>
      <c r="X99" s="3" t="str">
        <f t="shared" si="46"/>
        <v>O</v>
      </c>
      <c r="Z99" s="3">
        <v>54.5</v>
      </c>
      <c r="AB99" s="3" t="str">
        <f t="shared" si="47"/>
        <v>CHA/IND</v>
      </c>
      <c r="AC99" s="3">
        <f t="shared" si="35"/>
        <v>3</v>
      </c>
      <c r="AD99" s="3">
        <f t="shared" si="36"/>
        <v>1</v>
      </c>
    </row>
    <row r="100" spans="1:30" ht="17.100000000000001" x14ac:dyDescent="0.45">
      <c r="A100" s="3">
        <v>191106</v>
      </c>
      <c r="B100" s="44">
        <v>0.39583333333333331</v>
      </c>
      <c r="C100" s="3" t="s">
        <v>122</v>
      </c>
      <c r="D100" s="3" t="s">
        <v>127</v>
      </c>
      <c r="E100" s="3">
        <v>22</v>
      </c>
      <c r="F100" s="3">
        <v>22</v>
      </c>
      <c r="G100" s="3">
        <v>26</v>
      </c>
      <c r="H100" s="3">
        <v>38</v>
      </c>
      <c r="J100" s="3">
        <v>21</v>
      </c>
      <c r="K100" s="3">
        <v>24</v>
      </c>
      <c r="L100" s="3">
        <v>33</v>
      </c>
      <c r="M100" s="3">
        <v>22</v>
      </c>
      <c r="O100" s="3">
        <f t="shared" si="37"/>
        <v>108</v>
      </c>
      <c r="P100" s="3">
        <f t="shared" si="38"/>
        <v>100</v>
      </c>
      <c r="Q100" s="3" t="str">
        <f t="shared" si="39"/>
        <v>HW</v>
      </c>
      <c r="R100" s="3" t="str">
        <f t="shared" si="40"/>
        <v>HL</v>
      </c>
      <c r="S100" s="3" t="str">
        <f t="shared" si="41"/>
        <v>HL</v>
      </c>
      <c r="T100" s="3" t="str">
        <f t="shared" si="42"/>
        <v>HW</v>
      </c>
      <c r="U100" s="3" t="str">
        <f t="shared" si="43"/>
        <v>U</v>
      </c>
      <c r="V100" s="3" t="str">
        <f t="shared" si="44"/>
        <v>U</v>
      </c>
      <c r="W100" s="3" t="str">
        <f t="shared" si="45"/>
        <v>O</v>
      </c>
      <c r="X100" s="3" t="str">
        <f t="shared" si="46"/>
        <v>O</v>
      </c>
      <c r="Z100" s="3">
        <v>53.5</v>
      </c>
      <c r="AB100" s="3" t="str">
        <f t="shared" si="47"/>
        <v>ATL/SAS</v>
      </c>
      <c r="AC100" s="3">
        <f t="shared" si="35"/>
        <v>2</v>
      </c>
      <c r="AD100" s="3">
        <f t="shared" si="36"/>
        <v>2</v>
      </c>
    </row>
    <row r="101" spans="1:30" ht="17.100000000000001" x14ac:dyDescent="0.45">
      <c r="A101" s="3">
        <v>191106</v>
      </c>
      <c r="B101" s="44">
        <v>0.41666666666666669</v>
      </c>
      <c r="C101" s="3" t="s">
        <v>134</v>
      </c>
      <c r="D101" s="3" t="s">
        <v>137</v>
      </c>
      <c r="E101" s="3">
        <v>29</v>
      </c>
      <c r="F101" s="3">
        <v>36</v>
      </c>
      <c r="G101" s="3">
        <v>28</v>
      </c>
      <c r="H101" s="3">
        <v>19</v>
      </c>
      <c r="J101" s="3">
        <v>24</v>
      </c>
      <c r="K101" s="3">
        <v>24</v>
      </c>
      <c r="L101" s="3">
        <v>32</v>
      </c>
      <c r="M101" s="3">
        <v>38</v>
      </c>
      <c r="O101" s="3">
        <f t="shared" si="37"/>
        <v>112</v>
      </c>
      <c r="P101" s="3">
        <f t="shared" si="38"/>
        <v>118</v>
      </c>
      <c r="Q101" s="3" t="str">
        <f t="shared" si="39"/>
        <v>HW</v>
      </c>
      <c r="R101" s="3" t="str">
        <f t="shared" si="40"/>
        <v>HW</v>
      </c>
      <c r="S101" s="3" t="str">
        <f t="shared" si="41"/>
        <v>HL</v>
      </c>
      <c r="T101" s="3" t="str">
        <f t="shared" si="42"/>
        <v>HL</v>
      </c>
      <c r="U101" s="3" t="str">
        <f t="shared" si="43"/>
        <v>U</v>
      </c>
      <c r="V101" s="3" t="str">
        <f t="shared" si="44"/>
        <v>O</v>
      </c>
      <c r="W101" s="3" t="str">
        <f t="shared" si="45"/>
        <v>O</v>
      </c>
      <c r="X101" s="3" t="str">
        <f t="shared" si="46"/>
        <v>O</v>
      </c>
      <c r="Z101" s="3">
        <v>55.5</v>
      </c>
      <c r="AB101" s="3" t="str">
        <f t="shared" si="47"/>
        <v>CHI/LAL</v>
      </c>
      <c r="AC101" s="3">
        <f t="shared" si="35"/>
        <v>3</v>
      </c>
      <c r="AD101" s="3">
        <f t="shared" si="36"/>
        <v>1</v>
      </c>
    </row>
    <row r="102" spans="1:30" ht="17.100000000000001" x14ac:dyDescent="0.45">
      <c r="A102" s="3">
        <v>191106</v>
      </c>
      <c r="B102" s="44">
        <v>0.41666666666666669</v>
      </c>
      <c r="C102" s="3" t="s">
        <v>49</v>
      </c>
      <c r="D102" s="3" t="s">
        <v>130</v>
      </c>
      <c r="E102" s="3">
        <v>31</v>
      </c>
      <c r="F102" s="3">
        <v>27</v>
      </c>
      <c r="G102" s="3">
        <v>23</v>
      </c>
      <c r="H102" s="3">
        <v>21</v>
      </c>
      <c r="J102" s="3">
        <v>26</v>
      </c>
      <c r="K102" s="3">
        <v>27</v>
      </c>
      <c r="L102" s="3">
        <v>26</v>
      </c>
      <c r="M102" s="3">
        <v>15</v>
      </c>
      <c r="O102" s="3">
        <f t="shared" si="37"/>
        <v>102</v>
      </c>
      <c r="P102" s="3">
        <f t="shared" si="38"/>
        <v>94</v>
      </c>
      <c r="Q102" s="3" t="str">
        <f t="shared" si="39"/>
        <v>HW</v>
      </c>
      <c r="R102" s="3" t="str">
        <f t="shared" si="40"/>
        <v>TT</v>
      </c>
      <c r="S102" s="3" t="str">
        <f t="shared" si="41"/>
        <v>HL</v>
      </c>
      <c r="T102" s="3" t="str">
        <f t="shared" si="42"/>
        <v>HW</v>
      </c>
      <c r="U102" s="3" t="str">
        <f t="shared" si="43"/>
        <v>O</v>
      </c>
      <c r="V102" s="3" t="str">
        <f t="shared" si="44"/>
        <v>O</v>
      </c>
      <c r="W102" s="3" t="str">
        <f t="shared" si="45"/>
        <v>U</v>
      </c>
      <c r="X102" s="3" t="str">
        <f t="shared" si="46"/>
        <v>U</v>
      </c>
      <c r="Z102" s="3">
        <v>52</v>
      </c>
      <c r="AB102" s="3" t="str">
        <f t="shared" si="47"/>
        <v>OKC/ORL</v>
      </c>
      <c r="AC102" s="3">
        <f t="shared" si="35"/>
        <v>2</v>
      </c>
      <c r="AD102" s="3">
        <f t="shared" si="36"/>
        <v>2</v>
      </c>
    </row>
    <row r="103" spans="1:30" ht="17.100000000000001" x14ac:dyDescent="0.45">
      <c r="A103" s="3">
        <v>191106</v>
      </c>
      <c r="B103" s="44">
        <v>0.45833333333333331</v>
      </c>
      <c r="C103" s="3" t="s">
        <v>125</v>
      </c>
      <c r="D103" s="3" t="s">
        <v>123</v>
      </c>
      <c r="E103" s="3">
        <v>29</v>
      </c>
      <c r="F103" s="3">
        <v>29</v>
      </c>
      <c r="G103" s="3">
        <v>31</v>
      </c>
      <c r="H103" s="3">
        <v>20</v>
      </c>
      <c r="J103" s="3">
        <v>28</v>
      </c>
      <c r="K103" s="3">
        <v>20</v>
      </c>
      <c r="L103" s="3">
        <v>21</v>
      </c>
      <c r="M103" s="3">
        <v>20</v>
      </c>
      <c r="O103" s="3">
        <f t="shared" si="37"/>
        <v>109</v>
      </c>
      <c r="P103" s="3">
        <f t="shared" si="38"/>
        <v>89</v>
      </c>
      <c r="Q103" s="3" t="str">
        <f t="shared" si="39"/>
        <v>HW</v>
      </c>
      <c r="R103" s="3" t="str">
        <f t="shared" si="40"/>
        <v>HW</v>
      </c>
      <c r="S103" s="3" t="str">
        <f t="shared" si="41"/>
        <v>HW</v>
      </c>
      <c r="T103" s="3" t="str">
        <f t="shared" si="42"/>
        <v>TT</v>
      </c>
      <c r="U103" s="3" t="str">
        <f t="shared" si="43"/>
        <v>O</v>
      </c>
      <c r="V103" s="3" t="str">
        <f t="shared" si="44"/>
        <v>U</v>
      </c>
      <c r="W103" s="3" t="str">
        <f t="shared" si="45"/>
        <v>U</v>
      </c>
      <c r="X103" s="3" t="str">
        <f t="shared" si="46"/>
        <v>U</v>
      </c>
      <c r="Z103" s="3">
        <v>54</v>
      </c>
      <c r="AB103" s="3" t="str">
        <f t="shared" si="47"/>
        <v>DEN/MIA</v>
      </c>
      <c r="AC103" s="3">
        <f t="shared" si="35"/>
        <v>1</v>
      </c>
      <c r="AD103" s="3">
        <f t="shared" si="36"/>
        <v>3</v>
      </c>
    </row>
    <row r="104" spans="1:30" ht="17.100000000000001" x14ac:dyDescent="0.45">
      <c r="A104" s="3">
        <v>191107</v>
      </c>
      <c r="B104" s="44">
        <v>0.375</v>
      </c>
      <c r="C104" s="3" t="s">
        <v>135</v>
      </c>
      <c r="D104" s="3" t="s">
        <v>133</v>
      </c>
      <c r="E104" s="3">
        <v>33</v>
      </c>
      <c r="F104" s="3">
        <v>31</v>
      </c>
      <c r="G104" s="3">
        <v>32</v>
      </c>
      <c r="H104" s="3">
        <v>26</v>
      </c>
      <c r="J104" s="3">
        <v>25</v>
      </c>
      <c r="K104" s="3">
        <v>34</v>
      </c>
      <c r="L104" s="3">
        <v>26</v>
      </c>
      <c r="M104" s="3">
        <v>17</v>
      </c>
      <c r="O104" s="3">
        <f t="shared" si="37"/>
        <v>122</v>
      </c>
      <c r="P104" s="3">
        <f t="shared" si="38"/>
        <v>102</v>
      </c>
      <c r="Q104" s="3" t="str">
        <f t="shared" si="39"/>
        <v>HW</v>
      </c>
      <c r="R104" s="3" t="str">
        <f t="shared" si="40"/>
        <v>HL</v>
      </c>
      <c r="S104" s="3" t="str">
        <f t="shared" si="41"/>
        <v>HW</v>
      </c>
      <c r="T104" s="3" t="str">
        <f t="shared" si="42"/>
        <v>HW</v>
      </c>
      <c r="U104" s="3" t="str">
        <f t="shared" si="43"/>
        <v>O</v>
      </c>
      <c r="V104" s="3" t="str">
        <f t="shared" si="44"/>
        <v>O</v>
      </c>
      <c r="W104" s="3" t="str">
        <f t="shared" si="45"/>
        <v>O</v>
      </c>
      <c r="X104" s="3" t="str">
        <f t="shared" si="46"/>
        <v>U</v>
      </c>
      <c r="Z104" s="3">
        <v>53</v>
      </c>
      <c r="AB104" s="3" t="str">
        <f t="shared" si="47"/>
        <v>DET/NYK</v>
      </c>
      <c r="AC104" s="3">
        <f t="shared" si="35"/>
        <v>3</v>
      </c>
      <c r="AD104" s="3">
        <f t="shared" si="36"/>
        <v>1</v>
      </c>
    </row>
    <row r="105" spans="1:30" ht="17.100000000000001" x14ac:dyDescent="0.45">
      <c r="A105" s="3">
        <v>191107</v>
      </c>
      <c r="B105" s="44">
        <v>0.375</v>
      </c>
      <c r="C105" s="3" t="s">
        <v>128</v>
      </c>
      <c r="D105" s="3" t="s">
        <v>34</v>
      </c>
      <c r="E105" s="3">
        <v>26</v>
      </c>
      <c r="F105" s="3">
        <v>44</v>
      </c>
      <c r="G105" s="3">
        <v>24</v>
      </c>
      <c r="H105" s="3">
        <v>27</v>
      </c>
      <c r="J105" s="3">
        <v>26</v>
      </c>
      <c r="K105" s="3">
        <v>36</v>
      </c>
      <c r="L105" s="3">
        <v>18</v>
      </c>
      <c r="M105" s="3">
        <v>26</v>
      </c>
      <c r="O105" s="3">
        <f t="shared" si="37"/>
        <v>121</v>
      </c>
      <c r="P105" s="3">
        <f t="shared" si="38"/>
        <v>106</v>
      </c>
      <c r="Q105" s="3" t="str">
        <f t="shared" si="39"/>
        <v>TT</v>
      </c>
      <c r="R105" s="3" t="str">
        <f t="shared" si="40"/>
        <v>HW</v>
      </c>
      <c r="S105" s="3" t="str">
        <f t="shared" si="41"/>
        <v>HW</v>
      </c>
      <c r="T105" s="3" t="str">
        <f t="shared" si="42"/>
        <v>HW</v>
      </c>
      <c r="U105" s="3" t="str">
        <f t="shared" si="43"/>
        <v>U</v>
      </c>
      <c r="V105" s="3" t="str">
        <f t="shared" si="44"/>
        <v>O</v>
      </c>
      <c r="W105" s="3" t="str">
        <f t="shared" si="45"/>
        <v>U</v>
      </c>
      <c r="X105" s="3" t="str">
        <f t="shared" si="46"/>
        <v>U</v>
      </c>
      <c r="Z105" s="3">
        <v>58</v>
      </c>
      <c r="AB105" s="3" t="str">
        <f t="shared" si="47"/>
        <v>IND/WAS</v>
      </c>
      <c r="AC105" s="3">
        <f t="shared" si="35"/>
        <v>1</v>
      </c>
      <c r="AD105" s="3">
        <f t="shared" si="36"/>
        <v>3</v>
      </c>
    </row>
    <row r="106" spans="1:30" ht="17.100000000000001" x14ac:dyDescent="0.45">
      <c r="A106" s="3">
        <v>191107</v>
      </c>
      <c r="B106" s="44">
        <v>0.39583333333333331</v>
      </c>
      <c r="C106" s="3" t="s">
        <v>122</v>
      </c>
      <c r="D106" s="3" t="s">
        <v>134</v>
      </c>
      <c r="E106" s="3">
        <v>19</v>
      </c>
      <c r="F106" s="3">
        <v>22</v>
      </c>
      <c r="G106" s="3">
        <v>24</v>
      </c>
      <c r="H106" s="3">
        <v>28</v>
      </c>
      <c r="J106" s="3">
        <v>33</v>
      </c>
      <c r="K106" s="3">
        <v>23</v>
      </c>
      <c r="L106" s="3">
        <v>35</v>
      </c>
      <c r="M106" s="3">
        <v>22</v>
      </c>
      <c r="O106" s="3">
        <f t="shared" si="37"/>
        <v>93</v>
      </c>
      <c r="P106" s="3">
        <f t="shared" si="38"/>
        <v>113</v>
      </c>
      <c r="Q106" s="3" t="str">
        <f t="shared" si="39"/>
        <v>HL</v>
      </c>
      <c r="R106" s="3" t="str">
        <f t="shared" si="40"/>
        <v>HL</v>
      </c>
      <c r="S106" s="3" t="str">
        <f t="shared" si="41"/>
        <v>HL</v>
      </c>
      <c r="T106" s="3" t="str">
        <f t="shared" si="42"/>
        <v>HW</v>
      </c>
      <c r="U106" s="3" t="str">
        <f t="shared" si="43"/>
        <v>U</v>
      </c>
      <c r="V106" s="3" t="str">
        <f t="shared" si="44"/>
        <v>U</v>
      </c>
      <c r="W106" s="3" t="str">
        <f t="shared" si="45"/>
        <v>O</v>
      </c>
      <c r="X106" s="3" t="str">
        <f t="shared" si="46"/>
        <v>U</v>
      </c>
      <c r="Z106" s="3">
        <v>53.5</v>
      </c>
      <c r="AB106" s="3" t="str">
        <f t="shared" si="47"/>
        <v>ATL/CHI</v>
      </c>
      <c r="AC106" s="3">
        <f t="shared" ref="AC106:AC116" si="48">COUNTIF(U106:X106,"o")</f>
        <v>1</v>
      </c>
      <c r="AD106" s="3">
        <f t="shared" ref="AD106:AD116" si="49">COUNTIF(U106:X106,"u")</f>
        <v>3</v>
      </c>
    </row>
    <row r="107" spans="1:30" ht="17.100000000000001" x14ac:dyDescent="0.45">
      <c r="A107" s="3">
        <v>191107</v>
      </c>
      <c r="B107" s="44">
        <v>0.39583333333333331</v>
      </c>
      <c r="C107" s="3" t="s">
        <v>151</v>
      </c>
      <c r="D107" s="3" t="s">
        <v>140</v>
      </c>
      <c r="E107" s="3">
        <v>30</v>
      </c>
      <c r="F107" s="3">
        <v>33</v>
      </c>
      <c r="G107" s="3">
        <v>35</v>
      </c>
      <c r="H107" s="3">
        <v>31</v>
      </c>
      <c r="J107" s="3">
        <v>29</v>
      </c>
      <c r="K107" s="3">
        <v>23</v>
      </c>
      <c r="L107" s="3">
        <v>31</v>
      </c>
      <c r="M107" s="3">
        <v>29</v>
      </c>
      <c r="O107" s="3">
        <f t="shared" si="37"/>
        <v>129</v>
      </c>
      <c r="P107" s="3">
        <f t="shared" si="38"/>
        <v>112</v>
      </c>
      <c r="Q107" s="3" t="str">
        <f t="shared" si="39"/>
        <v>HW</v>
      </c>
      <c r="R107" s="3" t="str">
        <f t="shared" si="40"/>
        <v>HW</v>
      </c>
      <c r="S107" s="3" t="str">
        <f t="shared" si="41"/>
        <v>HW</v>
      </c>
      <c r="T107" s="3" t="str">
        <f t="shared" si="42"/>
        <v>HW</v>
      </c>
      <c r="U107" s="3" t="str">
        <f t="shared" si="43"/>
        <v>U</v>
      </c>
      <c r="V107" s="3" t="str">
        <f t="shared" si="44"/>
        <v>U</v>
      </c>
      <c r="W107" s="3" t="str">
        <f t="shared" si="45"/>
        <v>O</v>
      </c>
      <c r="X107" s="3" t="str">
        <f t="shared" si="46"/>
        <v>O</v>
      </c>
      <c r="Z107" s="3">
        <v>59.5</v>
      </c>
      <c r="AB107" s="3" t="str">
        <f t="shared" si="47"/>
        <v>HOU/GS</v>
      </c>
      <c r="AC107" s="3">
        <f t="shared" si="48"/>
        <v>2</v>
      </c>
      <c r="AD107" s="3">
        <f t="shared" si="49"/>
        <v>2</v>
      </c>
    </row>
    <row r="108" spans="1:30" ht="17.100000000000001" x14ac:dyDescent="0.45">
      <c r="A108" s="3">
        <v>191107</v>
      </c>
      <c r="B108" s="44">
        <v>0.39583333333333331</v>
      </c>
      <c r="C108" s="3" t="s">
        <v>143</v>
      </c>
      <c r="D108" s="3" t="s">
        <v>138</v>
      </c>
      <c r="E108" s="3">
        <v>36</v>
      </c>
      <c r="F108" s="3">
        <v>30</v>
      </c>
      <c r="G108" s="3">
        <v>29</v>
      </c>
      <c r="H108" s="3">
        <v>29</v>
      </c>
      <c r="J108" s="3">
        <v>23</v>
      </c>
      <c r="K108" s="3">
        <v>35</v>
      </c>
      <c r="L108" s="3">
        <v>30</v>
      </c>
      <c r="M108" s="3">
        <v>32</v>
      </c>
      <c r="O108" s="3">
        <f t="shared" si="37"/>
        <v>124</v>
      </c>
      <c r="P108" s="3">
        <f t="shared" si="38"/>
        <v>120</v>
      </c>
      <c r="Q108" s="3" t="str">
        <f t="shared" si="39"/>
        <v>HW</v>
      </c>
      <c r="R108" s="3" t="str">
        <f t="shared" si="40"/>
        <v>HL</v>
      </c>
      <c r="S108" s="3" t="str">
        <f t="shared" si="41"/>
        <v>HL</v>
      </c>
      <c r="T108" s="3" t="str">
        <f t="shared" si="42"/>
        <v>HL</v>
      </c>
      <c r="U108" s="3" t="str">
        <f t="shared" si="43"/>
        <v>O</v>
      </c>
      <c r="V108" s="3" t="str">
        <f t="shared" si="44"/>
        <v>O</v>
      </c>
      <c r="W108" s="3" t="str">
        <f t="shared" si="45"/>
        <v>O</v>
      </c>
      <c r="X108" s="3" t="str">
        <f t="shared" si="46"/>
        <v>O</v>
      </c>
      <c r="Z108" s="3">
        <v>56</v>
      </c>
      <c r="AB108" s="3" t="str">
        <f t="shared" si="47"/>
        <v>TOR/SAC</v>
      </c>
      <c r="AC108" s="3">
        <f t="shared" si="48"/>
        <v>4</v>
      </c>
      <c r="AD108" s="3">
        <f t="shared" si="49"/>
        <v>0</v>
      </c>
    </row>
    <row r="109" spans="1:30" ht="17.100000000000001" x14ac:dyDescent="0.45">
      <c r="A109" s="3">
        <v>191107</v>
      </c>
      <c r="B109" s="44">
        <v>0.41666666666666669</v>
      </c>
      <c r="C109" s="3" t="s">
        <v>146</v>
      </c>
      <c r="D109" s="3" t="s">
        <v>145</v>
      </c>
      <c r="E109" s="3">
        <v>37</v>
      </c>
      <c r="F109" s="3">
        <v>35</v>
      </c>
      <c r="G109" s="3">
        <v>29</v>
      </c>
      <c r="H109" s="3">
        <v>36</v>
      </c>
      <c r="J109" s="3">
        <v>26</v>
      </c>
      <c r="K109" s="3">
        <v>38</v>
      </c>
      <c r="L109" s="3">
        <v>32</v>
      </c>
      <c r="M109" s="3">
        <v>25</v>
      </c>
      <c r="O109" s="3">
        <f t="shared" si="37"/>
        <v>137</v>
      </c>
      <c r="P109" s="3">
        <f t="shared" si="38"/>
        <v>121</v>
      </c>
      <c r="Q109" s="3" t="str">
        <f t="shared" si="39"/>
        <v>HW</v>
      </c>
      <c r="R109" s="3" t="str">
        <f t="shared" si="40"/>
        <v>HL</v>
      </c>
      <c r="S109" s="3" t="str">
        <f t="shared" si="41"/>
        <v>HL</v>
      </c>
      <c r="T109" s="3" t="str">
        <f t="shared" si="42"/>
        <v>HW</v>
      </c>
      <c r="U109" s="3" t="str">
        <f t="shared" si="43"/>
        <v>O</v>
      </c>
      <c r="V109" s="3" t="str">
        <f t="shared" si="44"/>
        <v>O</v>
      </c>
      <c r="W109" s="3" t="str">
        <f t="shared" si="45"/>
        <v>O</v>
      </c>
      <c r="X109" s="3" t="str">
        <f t="shared" si="46"/>
        <v>O</v>
      </c>
      <c r="Z109" s="3">
        <v>58</v>
      </c>
      <c r="AB109" s="3" t="str">
        <f t="shared" si="47"/>
        <v>MEM/MIN</v>
      </c>
      <c r="AC109" s="3">
        <f t="shared" si="48"/>
        <v>4</v>
      </c>
      <c r="AD109" s="3">
        <f t="shared" si="49"/>
        <v>0</v>
      </c>
    </row>
    <row r="110" spans="1:30" ht="17.100000000000001" x14ac:dyDescent="0.45">
      <c r="A110" s="3">
        <v>191107</v>
      </c>
      <c r="B110" s="44">
        <v>0.4375</v>
      </c>
      <c r="C110" s="3" t="s">
        <v>136</v>
      </c>
      <c r="D110" s="3" t="s">
        <v>130</v>
      </c>
      <c r="E110" s="3">
        <v>25</v>
      </c>
      <c r="F110" s="3">
        <v>29</v>
      </c>
      <c r="G110" s="3">
        <v>32</v>
      </c>
      <c r="H110" s="3">
        <v>21</v>
      </c>
      <c r="J110" s="3">
        <v>28</v>
      </c>
      <c r="K110" s="3">
        <v>28</v>
      </c>
      <c r="L110" s="3">
        <v>23</v>
      </c>
      <c r="M110" s="3">
        <v>27</v>
      </c>
      <c r="O110" s="3">
        <f t="shared" si="37"/>
        <v>107</v>
      </c>
      <c r="P110" s="3">
        <f t="shared" si="38"/>
        <v>106</v>
      </c>
      <c r="Q110" s="3" t="str">
        <f t="shared" si="39"/>
        <v>HL</v>
      </c>
      <c r="R110" s="3" t="str">
        <f t="shared" si="40"/>
        <v>HW</v>
      </c>
      <c r="S110" s="3" t="str">
        <f t="shared" si="41"/>
        <v>HW</v>
      </c>
      <c r="T110" s="3" t="str">
        <f t="shared" si="42"/>
        <v>HL</v>
      </c>
      <c r="U110" s="3" t="str">
        <f t="shared" si="43"/>
        <v>U</v>
      </c>
      <c r="V110" s="3" t="str">
        <f t="shared" si="44"/>
        <v>O</v>
      </c>
      <c r="W110" s="3" t="str">
        <f t="shared" si="45"/>
        <v>O</v>
      </c>
      <c r="X110" s="3" t="str">
        <f t="shared" si="46"/>
        <v>U</v>
      </c>
      <c r="Z110" s="3">
        <v>53.5</v>
      </c>
      <c r="AB110" s="3" t="str">
        <f t="shared" si="47"/>
        <v>DAL/ORL</v>
      </c>
      <c r="AC110" s="3">
        <f t="shared" si="48"/>
        <v>2</v>
      </c>
      <c r="AD110" s="3">
        <f t="shared" si="49"/>
        <v>2</v>
      </c>
    </row>
    <row r="111" spans="1:30" ht="17.100000000000001" x14ac:dyDescent="0.45">
      <c r="A111" s="3">
        <v>191107</v>
      </c>
      <c r="B111" s="44">
        <v>0.45833333333333331</v>
      </c>
      <c r="C111" s="3" t="s">
        <v>139</v>
      </c>
      <c r="D111" s="3" t="s">
        <v>150</v>
      </c>
      <c r="E111" s="3">
        <v>26</v>
      </c>
      <c r="F111" s="3">
        <v>32</v>
      </c>
      <c r="G111" s="3">
        <v>26</v>
      </c>
      <c r="H111" s="3">
        <v>22</v>
      </c>
      <c r="J111" s="3">
        <v>29</v>
      </c>
      <c r="K111" s="3">
        <v>27</v>
      </c>
      <c r="L111" s="3">
        <v>17</v>
      </c>
      <c r="M111" s="3">
        <v>31</v>
      </c>
      <c r="O111" s="3">
        <f t="shared" si="37"/>
        <v>106</v>
      </c>
      <c r="P111" s="3">
        <f t="shared" si="38"/>
        <v>104</v>
      </c>
      <c r="Q111" s="3" t="str">
        <f t="shared" si="39"/>
        <v>HL</v>
      </c>
      <c r="R111" s="3" t="str">
        <f t="shared" si="40"/>
        <v>HW</v>
      </c>
      <c r="S111" s="3" t="str">
        <f t="shared" si="41"/>
        <v>HW</v>
      </c>
      <c r="T111" s="3" t="str">
        <f t="shared" si="42"/>
        <v>HL</v>
      </c>
      <c r="U111" s="3" t="str">
        <f t="shared" si="43"/>
        <v>O</v>
      </c>
      <c r="V111" s="3" t="str">
        <f t="shared" si="44"/>
        <v>O</v>
      </c>
      <c r="W111" s="3" t="str">
        <f t="shared" si="45"/>
        <v>U</v>
      </c>
      <c r="X111" s="3" t="str">
        <f t="shared" si="46"/>
        <v>U</v>
      </c>
      <c r="Z111" s="3">
        <v>54</v>
      </c>
      <c r="AB111" s="3" t="str">
        <f t="shared" si="47"/>
        <v>UTA/PHI</v>
      </c>
      <c r="AC111" s="3">
        <f t="shared" si="48"/>
        <v>2</v>
      </c>
      <c r="AD111" s="3">
        <f t="shared" si="49"/>
        <v>2</v>
      </c>
    </row>
    <row r="112" spans="1:30" ht="17.100000000000001" x14ac:dyDescent="0.45">
      <c r="A112" s="3">
        <v>191107</v>
      </c>
      <c r="B112" s="44">
        <v>0.5</v>
      </c>
      <c r="C112" s="3" t="s">
        <v>126</v>
      </c>
      <c r="D112" s="3" t="s">
        <v>131</v>
      </c>
      <c r="E112" s="3">
        <v>30</v>
      </c>
      <c r="F112" s="3">
        <v>29</v>
      </c>
      <c r="G112" s="3">
        <v>30</v>
      </c>
      <c r="H112" s="3">
        <v>35</v>
      </c>
      <c r="J112" s="3">
        <v>28</v>
      </c>
      <c r="K112" s="3">
        <v>42</v>
      </c>
      <c r="L112" s="3">
        <v>28</v>
      </c>
      <c r="M112" s="3">
        <v>31</v>
      </c>
      <c r="O112" s="3">
        <f t="shared" si="37"/>
        <v>124</v>
      </c>
      <c r="P112" s="3">
        <f t="shared" si="38"/>
        <v>129</v>
      </c>
      <c r="Q112" s="3" t="str">
        <f t="shared" si="39"/>
        <v>HW</v>
      </c>
      <c r="R112" s="3" t="str">
        <f t="shared" si="40"/>
        <v>HL</v>
      </c>
      <c r="S112" s="3" t="str">
        <f t="shared" si="41"/>
        <v>HW</v>
      </c>
      <c r="T112" s="3" t="str">
        <f t="shared" si="42"/>
        <v>HW</v>
      </c>
      <c r="U112" s="3" t="str">
        <f t="shared" si="43"/>
        <v>O</v>
      </c>
      <c r="V112" s="3" t="str">
        <f t="shared" si="44"/>
        <v>O</v>
      </c>
      <c r="W112" s="3" t="str">
        <f t="shared" si="45"/>
        <v>O</v>
      </c>
      <c r="X112" s="3" t="str">
        <f t="shared" si="46"/>
        <v>O</v>
      </c>
      <c r="Z112" s="3">
        <v>55.5</v>
      </c>
      <c r="AB112" s="3" t="str">
        <f t="shared" si="47"/>
        <v>LAC/MIL</v>
      </c>
      <c r="AC112" s="3">
        <f t="shared" si="48"/>
        <v>4</v>
      </c>
      <c r="AD112" s="3">
        <f t="shared" si="49"/>
        <v>0</v>
      </c>
    </row>
    <row r="113" spans="1:30" ht="17.100000000000001" x14ac:dyDescent="0.45">
      <c r="A113" s="3">
        <v>191108</v>
      </c>
      <c r="B113" s="44">
        <v>0.41666666666666669</v>
      </c>
      <c r="C113" s="3" t="s">
        <v>148</v>
      </c>
      <c r="D113" s="3" t="s">
        <v>132</v>
      </c>
      <c r="E113" s="3">
        <v>20</v>
      </c>
      <c r="F113" s="3">
        <v>23</v>
      </c>
      <c r="G113" s="3">
        <v>24</v>
      </c>
      <c r="H113" s="3">
        <v>20</v>
      </c>
      <c r="J113" s="3">
        <v>30</v>
      </c>
      <c r="K113" s="3">
        <v>22</v>
      </c>
      <c r="L113" s="3">
        <v>33</v>
      </c>
      <c r="M113" s="3">
        <v>23</v>
      </c>
      <c r="O113" s="3">
        <f t="shared" si="37"/>
        <v>87</v>
      </c>
      <c r="P113" s="3">
        <f t="shared" si="38"/>
        <v>108</v>
      </c>
      <c r="Q113" s="3" t="str">
        <f t="shared" si="39"/>
        <v>HL</v>
      </c>
      <c r="R113" s="3" t="str">
        <f t="shared" si="40"/>
        <v>HW</v>
      </c>
      <c r="S113" s="3" t="str">
        <f t="shared" si="41"/>
        <v>HL</v>
      </c>
      <c r="T113" s="3" t="str">
        <f t="shared" si="42"/>
        <v>HL</v>
      </c>
      <c r="U113" s="3" t="str">
        <f t="shared" si="43"/>
        <v>U</v>
      </c>
      <c r="V113" s="3" t="str">
        <f t="shared" si="44"/>
        <v>U</v>
      </c>
      <c r="W113" s="3" t="str">
        <f t="shared" si="45"/>
        <v>O</v>
      </c>
      <c r="X113" s="3" t="str">
        <f t="shared" si="46"/>
        <v>U</v>
      </c>
      <c r="Z113" s="3">
        <v>53.5</v>
      </c>
      <c r="AB113" s="3" t="str">
        <f t="shared" si="47"/>
        <v>CHA/BOS</v>
      </c>
      <c r="AC113" s="3">
        <f t="shared" si="48"/>
        <v>1</v>
      </c>
      <c r="AD113" s="3">
        <f t="shared" si="49"/>
        <v>3</v>
      </c>
    </row>
    <row r="114" spans="1:30" ht="17.100000000000001" x14ac:dyDescent="0.45">
      <c r="A114" s="3">
        <v>191108</v>
      </c>
      <c r="B114" s="44">
        <v>0.4375</v>
      </c>
      <c r="C114" s="3" t="s">
        <v>127</v>
      </c>
      <c r="D114" s="3" t="s">
        <v>141</v>
      </c>
      <c r="E114" s="3">
        <v>33</v>
      </c>
      <c r="F114" s="3">
        <v>23</v>
      </c>
      <c r="G114" s="3">
        <v>36</v>
      </c>
      <c r="H114" s="3">
        <v>29</v>
      </c>
      <c r="J114" s="3">
        <v>30</v>
      </c>
      <c r="K114" s="3">
        <v>27</v>
      </c>
      <c r="L114" s="3">
        <v>27</v>
      </c>
      <c r="M114" s="3">
        <v>28</v>
      </c>
      <c r="O114" s="3">
        <f t="shared" si="37"/>
        <v>121</v>
      </c>
      <c r="P114" s="3">
        <f t="shared" si="38"/>
        <v>112</v>
      </c>
      <c r="Q114" s="3" t="str">
        <f t="shared" si="39"/>
        <v>HW</v>
      </c>
      <c r="R114" s="3" t="str">
        <f t="shared" si="40"/>
        <v>HL</v>
      </c>
      <c r="S114" s="3" t="str">
        <f t="shared" si="41"/>
        <v>HW</v>
      </c>
      <c r="T114" s="3" t="str">
        <f t="shared" si="42"/>
        <v>HW</v>
      </c>
      <c r="U114" s="3" t="str">
        <f t="shared" si="43"/>
        <v>O</v>
      </c>
      <c r="V114" s="3" t="str">
        <f t="shared" si="44"/>
        <v>U</v>
      </c>
      <c r="W114" s="3" t="str">
        <f t="shared" si="45"/>
        <v>O</v>
      </c>
      <c r="X114" s="3" t="str">
        <f t="shared" si="46"/>
        <v>O</v>
      </c>
      <c r="Z114" s="3">
        <v>55</v>
      </c>
      <c r="AB114" s="3" t="str">
        <f t="shared" si="47"/>
        <v>SAS/OKC</v>
      </c>
      <c r="AC114" s="3">
        <f t="shared" si="48"/>
        <v>3</v>
      </c>
      <c r="AD114" s="3">
        <f t="shared" si="49"/>
        <v>1</v>
      </c>
    </row>
    <row r="115" spans="1:30" ht="17.100000000000001" x14ac:dyDescent="0.45">
      <c r="A115" s="3">
        <v>191108</v>
      </c>
      <c r="B115" s="44">
        <v>0.45833333333333331</v>
      </c>
      <c r="C115" s="3" t="s">
        <v>147</v>
      </c>
      <c r="D115" s="3" t="s">
        <v>123</v>
      </c>
      <c r="E115" s="3">
        <v>30</v>
      </c>
      <c r="F115" s="3">
        <v>27</v>
      </c>
      <c r="G115" s="3">
        <v>29</v>
      </c>
      <c r="H115" s="3">
        <v>22</v>
      </c>
      <c r="J115" s="3">
        <v>31</v>
      </c>
      <c r="K115" s="3">
        <v>33</v>
      </c>
      <c r="L115" s="3">
        <v>29</v>
      </c>
      <c r="M115" s="3">
        <v>31</v>
      </c>
      <c r="O115" s="3">
        <f t="shared" si="37"/>
        <v>108</v>
      </c>
      <c r="P115" s="3">
        <f t="shared" si="38"/>
        <v>124</v>
      </c>
      <c r="Q115" s="3" t="str">
        <f t="shared" si="39"/>
        <v>HL</v>
      </c>
      <c r="R115" s="3" t="str">
        <f t="shared" si="40"/>
        <v>HL</v>
      </c>
      <c r="S115" s="3" t="str">
        <f t="shared" si="41"/>
        <v>TT</v>
      </c>
      <c r="T115" s="3" t="str">
        <f t="shared" si="42"/>
        <v>HL</v>
      </c>
      <c r="U115" s="3" t="str">
        <f t="shared" si="43"/>
        <v>O</v>
      </c>
      <c r="V115" s="3" t="str">
        <f t="shared" si="44"/>
        <v>O</v>
      </c>
      <c r="W115" s="3" t="str">
        <f t="shared" si="45"/>
        <v>O</v>
      </c>
      <c r="X115" s="3" t="str">
        <f t="shared" si="46"/>
        <v>U</v>
      </c>
      <c r="Z115" s="3">
        <v>56</v>
      </c>
      <c r="AB115" s="3" t="str">
        <f t="shared" si="47"/>
        <v>PHO/MIA</v>
      </c>
      <c r="AC115" s="3">
        <f t="shared" si="48"/>
        <v>3</v>
      </c>
      <c r="AD115" s="3">
        <f t="shared" si="49"/>
        <v>1</v>
      </c>
    </row>
    <row r="116" spans="1:30" ht="17.100000000000001" x14ac:dyDescent="0.45">
      <c r="A116" s="3">
        <v>191108</v>
      </c>
      <c r="B116" s="44">
        <v>0.52083333333333337</v>
      </c>
      <c r="C116" s="3" t="s">
        <v>126</v>
      </c>
      <c r="D116" s="3" t="s">
        <v>149</v>
      </c>
      <c r="E116" s="3">
        <v>26</v>
      </c>
      <c r="F116" s="3">
        <v>21</v>
      </c>
      <c r="G116" s="3">
        <v>23</v>
      </c>
      <c r="H116" s="3">
        <v>37</v>
      </c>
      <c r="J116" s="3">
        <v>22</v>
      </c>
      <c r="K116" s="3">
        <v>18</v>
      </c>
      <c r="L116" s="3">
        <v>36</v>
      </c>
      <c r="M116" s="3">
        <v>25</v>
      </c>
      <c r="O116" s="3">
        <f t="shared" si="37"/>
        <v>107</v>
      </c>
      <c r="P116" s="3">
        <f t="shared" si="38"/>
        <v>101</v>
      </c>
      <c r="Q116" s="3" t="str">
        <f t="shared" si="39"/>
        <v>HW</v>
      </c>
      <c r="R116" s="3" t="str">
        <f t="shared" si="40"/>
        <v>HW</v>
      </c>
      <c r="S116" s="3" t="str">
        <f t="shared" si="41"/>
        <v>HL</v>
      </c>
      <c r="T116" s="3" t="str">
        <f t="shared" si="42"/>
        <v>HW</v>
      </c>
      <c r="U116" s="3" t="str">
        <f t="shared" si="43"/>
        <v>U</v>
      </c>
      <c r="V116" s="3" t="str">
        <f t="shared" si="44"/>
        <v>U</v>
      </c>
      <c r="W116" s="3" t="str">
        <f t="shared" si="45"/>
        <v>O</v>
      </c>
      <c r="X116" s="3" t="str">
        <f t="shared" si="46"/>
        <v>O</v>
      </c>
      <c r="Z116" s="3">
        <v>56.5</v>
      </c>
      <c r="AB116" s="3" t="str">
        <f t="shared" si="47"/>
        <v>LAC/POR</v>
      </c>
      <c r="AC116" s="3">
        <f t="shared" si="48"/>
        <v>2</v>
      </c>
      <c r="AD116" s="3">
        <f t="shared" si="49"/>
        <v>2</v>
      </c>
    </row>
    <row r="117" spans="1:30" ht="17.100000000000001" x14ac:dyDescent="0.45">
      <c r="A117" s="3">
        <v>191109</v>
      </c>
      <c r="B117" s="44">
        <v>0.375</v>
      </c>
      <c r="C117" s="3" t="s">
        <v>35</v>
      </c>
      <c r="D117" s="3" t="s">
        <v>36</v>
      </c>
      <c r="E117" s="3">
        <v>27</v>
      </c>
      <c r="F117" s="3">
        <v>30</v>
      </c>
      <c r="G117" s="3">
        <v>28</v>
      </c>
      <c r="H117" s="3">
        <v>27</v>
      </c>
      <c r="J117" s="3">
        <v>35</v>
      </c>
      <c r="K117" s="3">
        <v>18</v>
      </c>
      <c r="L117" s="3">
        <v>19</v>
      </c>
      <c r="M117" s="3">
        <v>34</v>
      </c>
      <c r="O117" s="3">
        <f t="shared" ref="O117:O161" si="50">SUM(E117:I117)</f>
        <v>112</v>
      </c>
      <c r="P117" s="3">
        <f t="shared" ref="P117:P161" si="51">SUM(J117:N117)</f>
        <v>106</v>
      </c>
      <c r="Q117" s="3" t="str">
        <f t="shared" ref="Q117:Q161" si="52">IF(E117=J117,"TT",IF(E117&gt;J117,"HW","HL"))</f>
        <v>HL</v>
      </c>
      <c r="R117" s="3" t="str">
        <f t="shared" ref="R117:R161" si="53">IF(F117=K117,"TT",IF(F117&gt;K117,"HW","HL"))</f>
        <v>HW</v>
      </c>
      <c r="S117" s="3" t="str">
        <f t="shared" ref="S117:S161" si="54">IF(G117=L117,"TT",IF(G117&gt;L117,"HW","HL"))</f>
        <v>HW</v>
      </c>
      <c r="T117" s="3" t="str">
        <f t="shared" ref="T117:T161" si="55">IF(H117=M117,"TT",IF(H117&gt;M117,"HW","HL"))</f>
        <v>HL</v>
      </c>
      <c r="U117" s="3" t="str">
        <f t="shared" ref="U117:U161" si="56">IF(SUM(E117,J117)=$Z117,"T",IF(SUM(E117,J117)&gt;$Z117,"O","U"))</f>
        <v>O</v>
      </c>
      <c r="V117" s="3" t="str">
        <f t="shared" ref="V117:V161" si="57">IF(SUM(F117,K117)=$Z117,"T",IF(SUM(F117,K117)&gt;$Z117,"O","U"))</f>
        <v>U</v>
      </c>
      <c r="W117" s="3" t="str">
        <f t="shared" ref="W117:W161" si="58">IF(SUM(G117,L117)=$Z117,"T",IF(SUM(G117,L117)&gt;$Z117,"O","U"))</f>
        <v>U</v>
      </c>
      <c r="X117" s="3" t="str">
        <f t="shared" ref="X117:X161" si="59">IF(SUM(H117,M117)=$Z117,"T",IF(SUM(H117,M117)&gt;$Z117,"O","U"))</f>
        <v>O</v>
      </c>
      <c r="Z117" s="3">
        <v>54.5</v>
      </c>
      <c r="AB117" s="3" t="str">
        <f t="shared" ref="AB117:AB146" si="60">C117&amp;"/"&amp;D117</f>
        <v>IND/DET</v>
      </c>
      <c r="AC117" s="3">
        <f t="shared" ref="AC117:AC146" si="61">COUNTIF(U117:X117,"o")</f>
        <v>2</v>
      </c>
      <c r="AD117" s="3">
        <f t="shared" ref="AD117:AD146" si="62">COUNTIF(U117:X117,"u")</f>
        <v>2</v>
      </c>
    </row>
    <row r="118" spans="1:30" ht="17.100000000000001" x14ac:dyDescent="0.45">
      <c r="A118" s="3">
        <v>191109</v>
      </c>
      <c r="B118" s="44">
        <v>0.375</v>
      </c>
      <c r="C118" s="3" t="s">
        <v>39</v>
      </c>
      <c r="D118" s="3" t="s">
        <v>38</v>
      </c>
      <c r="E118" s="3">
        <v>27</v>
      </c>
      <c r="F118" s="3">
        <v>24</v>
      </c>
      <c r="G118" s="3">
        <v>33</v>
      </c>
      <c r="H118" s="3">
        <v>34</v>
      </c>
      <c r="J118" s="3">
        <v>15</v>
      </c>
      <c r="K118" s="3">
        <v>33</v>
      </c>
      <c r="L118" s="3">
        <v>30</v>
      </c>
      <c r="M118" s="3">
        <v>8</v>
      </c>
      <c r="O118" s="3">
        <f t="shared" si="50"/>
        <v>118</v>
      </c>
      <c r="P118" s="3">
        <f t="shared" si="51"/>
        <v>86</v>
      </c>
      <c r="Q118" s="3" t="str">
        <f t="shared" si="52"/>
        <v>HW</v>
      </c>
      <c r="R118" s="3" t="str">
        <f t="shared" si="53"/>
        <v>HL</v>
      </c>
      <c r="S118" s="3" t="str">
        <f t="shared" si="54"/>
        <v>HW</v>
      </c>
      <c r="T118" s="3" t="str">
        <f t="shared" si="55"/>
        <v>HW</v>
      </c>
      <c r="U118" s="3" t="str">
        <f t="shared" si="56"/>
        <v>U</v>
      </c>
      <c r="V118" s="3" t="str">
        <f t="shared" si="57"/>
        <v>O</v>
      </c>
      <c r="W118" s="3" t="str">
        <f t="shared" si="58"/>
        <v>O</v>
      </c>
      <c r="X118" s="3" t="str">
        <f t="shared" si="59"/>
        <v>U</v>
      </c>
      <c r="Z118" s="3">
        <v>52</v>
      </c>
      <c r="AB118" s="3" t="str">
        <f t="shared" si="60"/>
        <v>ORL/MEM</v>
      </c>
      <c r="AC118" s="3">
        <f t="shared" si="61"/>
        <v>2</v>
      </c>
      <c r="AD118" s="3">
        <f t="shared" si="62"/>
        <v>2</v>
      </c>
    </row>
    <row r="119" spans="1:30" ht="17.100000000000001" x14ac:dyDescent="0.45">
      <c r="A119" s="3">
        <v>191109</v>
      </c>
      <c r="B119" s="44">
        <v>0.375</v>
      </c>
      <c r="C119" s="3" t="s">
        <v>34</v>
      </c>
      <c r="D119" s="3" t="s">
        <v>40</v>
      </c>
      <c r="E119" s="3">
        <v>26</v>
      </c>
      <c r="F119" s="3">
        <v>26</v>
      </c>
      <c r="G119" s="3">
        <v>32</v>
      </c>
      <c r="H119" s="3">
        <v>16</v>
      </c>
      <c r="J119" s="3">
        <v>30</v>
      </c>
      <c r="K119" s="3">
        <v>37</v>
      </c>
      <c r="L119" s="3">
        <v>21</v>
      </c>
      <c r="M119" s="3">
        <v>25</v>
      </c>
      <c r="O119" s="3">
        <f t="shared" si="50"/>
        <v>100</v>
      </c>
      <c r="P119" s="3">
        <f t="shared" si="51"/>
        <v>113</v>
      </c>
      <c r="Q119" s="3" t="str">
        <f t="shared" si="52"/>
        <v>HL</v>
      </c>
      <c r="R119" s="3" t="str">
        <f t="shared" si="53"/>
        <v>HL</v>
      </c>
      <c r="S119" s="3" t="str">
        <f t="shared" si="54"/>
        <v>HW</v>
      </c>
      <c r="T119" s="3" t="str">
        <f t="shared" si="55"/>
        <v>HL</v>
      </c>
      <c r="U119" s="3" t="str">
        <f t="shared" si="56"/>
        <v>U</v>
      </c>
      <c r="V119" s="3" t="str">
        <f t="shared" si="57"/>
        <v>O</v>
      </c>
      <c r="W119" s="3" t="str">
        <f t="shared" si="58"/>
        <v>U</v>
      </c>
      <c r="X119" s="3" t="str">
        <f t="shared" si="59"/>
        <v>U</v>
      </c>
      <c r="Z119" s="3">
        <v>57</v>
      </c>
      <c r="AB119" s="3" t="str">
        <f t="shared" si="60"/>
        <v>WAS/CLE</v>
      </c>
      <c r="AC119" s="3">
        <f t="shared" si="61"/>
        <v>1</v>
      </c>
      <c r="AD119" s="3">
        <f t="shared" si="62"/>
        <v>3</v>
      </c>
    </row>
    <row r="120" spans="1:30" ht="17.100000000000001" x14ac:dyDescent="0.45">
      <c r="A120" s="3">
        <v>191109</v>
      </c>
      <c r="B120" s="44">
        <v>0.39583333333333331</v>
      </c>
      <c r="C120" s="3" t="s">
        <v>50</v>
      </c>
      <c r="D120" s="3" t="s">
        <v>44</v>
      </c>
      <c r="E120" s="3">
        <v>24</v>
      </c>
      <c r="F120" s="3">
        <v>23</v>
      </c>
      <c r="G120" s="3">
        <v>36</v>
      </c>
      <c r="H120" s="3">
        <v>26</v>
      </c>
      <c r="J120" s="3">
        <v>31</v>
      </c>
      <c r="K120" s="3">
        <v>32</v>
      </c>
      <c r="L120" s="3">
        <v>28</v>
      </c>
      <c r="M120" s="3">
        <v>30</v>
      </c>
      <c r="O120" s="3">
        <f t="shared" si="50"/>
        <v>109</v>
      </c>
      <c r="P120" s="3">
        <f t="shared" si="51"/>
        <v>121</v>
      </c>
      <c r="Q120" s="3" t="str">
        <f t="shared" si="52"/>
        <v>HL</v>
      </c>
      <c r="R120" s="3" t="str">
        <f t="shared" si="53"/>
        <v>HL</v>
      </c>
      <c r="S120" s="3" t="str">
        <f t="shared" si="54"/>
        <v>HW</v>
      </c>
      <c r="T120" s="3" t="str">
        <f t="shared" si="55"/>
        <v>HL</v>
      </c>
      <c r="U120" s="3" t="str">
        <f t="shared" si="56"/>
        <v>U</v>
      </c>
      <c r="V120" s="3" t="str">
        <f t="shared" si="57"/>
        <v>U</v>
      </c>
      <c r="W120" s="3" t="str">
        <f t="shared" si="58"/>
        <v>O</v>
      </c>
      <c r="X120" s="3" t="str">
        <f t="shared" si="59"/>
        <v>U</v>
      </c>
      <c r="Z120" s="3">
        <v>58</v>
      </c>
      <c r="AB120" s="3" t="str">
        <f t="shared" si="60"/>
        <v>ATL/SAC</v>
      </c>
      <c r="AC120" s="3">
        <f t="shared" si="61"/>
        <v>1</v>
      </c>
      <c r="AD120" s="3">
        <f t="shared" si="62"/>
        <v>3</v>
      </c>
    </row>
    <row r="121" spans="1:30" ht="17.100000000000001" x14ac:dyDescent="0.45">
      <c r="A121" s="3">
        <v>191109</v>
      </c>
      <c r="B121" s="44">
        <v>0.41666666666666669</v>
      </c>
      <c r="C121" s="3" t="s">
        <v>27</v>
      </c>
      <c r="D121" s="3" t="s">
        <v>28</v>
      </c>
      <c r="E121" s="3">
        <v>30</v>
      </c>
      <c r="F121" s="3">
        <v>23</v>
      </c>
      <c r="G121" s="3">
        <v>22</v>
      </c>
      <c r="H121" s="3">
        <v>29</v>
      </c>
      <c r="J121" s="3">
        <v>30</v>
      </c>
      <c r="K121" s="3">
        <v>45</v>
      </c>
      <c r="L121" s="3">
        <v>22</v>
      </c>
      <c r="M121" s="3">
        <v>25</v>
      </c>
      <c r="O121" s="3">
        <f t="shared" si="50"/>
        <v>104</v>
      </c>
      <c r="P121" s="3">
        <f t="shared" si="51"/>
        <v>122</v>
      </c>
      <c r="Q121" s="3" t="str">
        <f t="shared" si="52"/>
        <v>TT</v>
      </c>
      <c r="R121" s="3" t="str">
        <f t="shared" si="53"/>
        <v>HL</v>
      </c>
      <c r="S121" s="3" t="str">
        <f t="shared" si="54"/>
        <v>TT</v>
      </c>
      <c r="T121" s="3" t="str">
        <f t="shared" si="55"/>
        <v>HW</v>
      </c>
      <c r="U121" s="3" t="str">
        <f t="shared" si="56"/>
        <v>T</v>
      </c>
      <c r="V121" s="3" t="str">
        <f t="shared" si="57"/>
        <v>O</v>
      </c>
      <c r="W121" s="3" t="str">
        <f t="shared" si="58"/>
        <v>U</v>
      </c>
      <c r="X121" s="3" t="str">
        <f t="shared" si="59"/>
        <v>U</v>
      </c>
      <c r="Z121" s="3">
        <v>60</v>
      </c>
      <c r="AB121" s="3" t="str">
        <f t="shared" si="60"/>
        <v>NO/TOR</v>
      </c>
      <c r="AC121" s="3">
        <f t="shared" si="61"/>
        <v>1</v>
      </c>
      <c r="AD121" s="3">
        <f t="shared" si="62"/>
        <v>2</v>
      </c>
    </row>
    <row r="122" spans="1:30" ht="17.100000000000001" x14ac:dyDescent="0.45">
      <c r="A122" s="3">
        <v>191109</v>
      </c>
      <c r="B122" s="44">
        <v>0.41666666666666669</v>
      </c>
      <c r="C122" s="3" t="s">
        <v>29</v>
      </c>
      <c r="D122" s="3" t="s">
        <v>51</v>
      </c>
      <c r="E122" s="3">
        <v>29</v>
      </c>
      <c r="F122" s="3">
        <v>31</v>
      </c>
      <c r="G122" s="3">
        <v>20</v>
      </c>
      <c r="H122" s="3">
        <v>30</v>
      </c>
      <c r="I122" s="3">
        <v>15</v>
      </c>
      <c r="J122" s="3">
        <v>31</v>
      </c>
      <c r="K122" s="3">
        <v>30</v>
      </c>
      <c r="L122" s="3">
        <v>25</v>
      </c>
      <c r="M122" s="3">
        <v>24</v>
      </c>
      <c r="N122" s="3">
        <v>9</v>
      </c>
      <c r="O122" s="3">
        <f t="shared" si="50"/>
        <v>125</v>
      </c>
      <c r="P122" s="3">
        <f t="shared" si="51"/>
        <v>119</v>
      </c>
      <c r="Q122" s="3" t="str">
        <f t="shared" si="52"/>
        <v>HL</v>
      </c>
      <c r="R122" s="3" t="str">
        <f t="shared" si="53"/>
        <v>HW</v>
      </c>
      <c r="S122" s="3" t="str">
        <f t="shared" si="54"/>
        <v>HL</v>
      </c>
      <c r="T122" s="3" t="str">
        <f t="shared" si="55"/>
        <v>HW</v>
      </c>
      <c r="U122" s="3" t="str">
        <f t="shared" si="56"/>
        <v>O</v>
      </c>
      <c r="V122" s="3" t="str">
        <f t="shared" si="57"/>
        <v>O</v>
      </c>
      <c r="W122" s="3" t="str">
        <f t="shared" si="58"/>
        <v>U</v>
      </c>
      <c r="X122" s="3" t="str">
        <f t="shared" si="59"/>
        <v>U</v>
      </c>
      <c r="Z122" s="3">
        <v>59.5</v>
      </c>
      <c r="AB122" s="3" t="str">
        <f t="shared" si="60"/>
        <v>MIN/GS</v>
      </c>
      <c r="AC122" s="3">
        <f t="shared" si="61"/>
        <v>2</v>
      </c>
      <c r="AD122" s="3">
        <f t="shared" si="62"/>
        <v>2</v>
      </c>
    </row>
    <row r="123" spans="1:30" ht="17.100000000000001" x14ac:dyDescent="0.45">
      <c r="A123" s="3">
        <v>191109</v>
      </c>
      <c r="B123" s="44">
        <v>0.4375</v>
      </c>
      <c r="C123" s="3" t="s">
        <v>33</v>
      </c>
      <c r="D123" s="3" t="s">
        <v>47</v>
      </c>
      <c r="E123" s="3">
        <v>28</v>
      </c>
      <c r="F123" s="3">
        <v>29</v>
      </c>
      <c r="G123" s="3">
        <v>23</v>
      </c>
      <c r="H123" s="3">
        <v>22</v>
      </c>
      <c r="J123" s="3">
        <v>36</v>
      </c>
      <c r="K123" s="3">
        <v>25</v>
      </c>
      <c r="L123" s="3">
        <v>23</v>
      </c>
      <c r="M123" s="3">
        <v>22</v>
      </c>
      <c r="O123" s="3">
        <f t="shared" si="50"/>
        <v>102</v>
      </c>
      <c r="P123" s="3">
        <f t="shared" si="51"/>
        <v>106</v>
      </c>
      <c r="Q123" s="3" t="str">
        <f t="shared" si="52"/>
        <v>HL</v>
      </c>
      <c r="R123" s="3" t="str">
        <f t="shared" si="53"/>
        <v>HW</v>
      </c>
      <c r="S123" s="3" t="str">
        <f t="shared" si="54"/>
        <v>TT</v>
      </c>
      <c r="T123" s="3" t="str">
        <f t="shared" si="55"/>
        <v>TT</v>
      </c>
      <c r="U123" s="3" t="str">
        <f t="shared" si="56"/>
        <v>O</v>
      </c>
      <c r="V123" s="3" t="str">
        <f t="shared" si="57"/>
        <v>U</v>
      </c>
      <c r="W123" s="3" t="str">
        <f t="shared" si="58"/>
        <v>U</v>
      </c>
      <c r="X123" s="3" t="str">
        <f t="shared" si="59"/>
        <v>U</v>
      </c>
      <c r="Z123" s="3">
        <v>55</v>
      </c>
      <c r="AB123" s="3" t="str">
        <f t="shared" si="60"/>
        <v>DAL/NYK</v>
      </c>
      <c r="AC123" s="3">
        <f t="shared" si="61"/>
        <v>1</v>
      </c>
      <c r="AD123" s="3">
        <f t="shared" si="62"/>
        <v>3</v>
      </c>
    </row>
    <row r="124" spans="1:30" ht="17.100000000000001" x14ac:dyDescent="0.45">
      <c r="A124" s="3">
        <v>191109</v>
      </c>
      <c r="B124" s="44">
        <v>0.45833333333333331</v>
      </c>
      <c r="C124" s="3" t="s">
        <v>46</v>
      </c>
      <c r="D124" s="3" t="s">
        <v>41</v>
      </c>
      <c r="E124" s="3">
        <v>18</v>
      </c>
      <c r="F124" s="3">
        <v>24</v>
      </c>
      <c r="G124" s="3">
        <v>23</v>
      </c>
      <c r="H124" s="3">
        <v>35</v>
      </c>
      <c r="J124" s="3">
        <v>24</v>
      </c>
      <c r="K124" s="3">
        <v>33</v>
      </c>
      <c r="L124" s="3">
        <v>27</v>
      </c>
      <c r="M124" s="3">
        <v>13</v>
      </c>
      <c r="O124" s="3">
        <f t="shared" si="50"/>
        <v>100</v>
      </c>
      <c r="P124" s="3">
        <f t="shared" si="51"/>
        <v>97</v>
      </c>
      <c r="Q124" s="3" t="str">
        <f t="shared" si="52"/>
        <v>HL</v>
      </c>
      <c r="R124" s="3" t="str">
        <f t="shared" si="53"/>
        <v>HL</v>
      </c>
      <c r="S124" s="3" t="str">
        <f t="shared" si="54"/>
        <v>HL</v>
      </c>
      <c r="T124" s="3" t="str">
        <f t="shared" si="55"/>
        <v>HW</v>
      </c>
      <c r="U124" s="3" t="str">
        <f t="shared" si="56"/>
        <v>U</v>
      </c>
      <c r="V124" s="3" t="str">
        <f t="shared" si="57"/>
        <v>O</v>
      </c>
      <c r="W124" s="3" t="str">
        <f t="shared" si="58"/>
        <v>U</v>
      </c>
      <c r="X124" s="3" t="str">
        <f t="shared" si="59"/>
        <v>U</v>
      </c>
      <c r="Z124" s="3">
        <v>52.5</v>
      </c>
      <c r="AB124" s="3" t="str">
        <f t="shared" si="60"/>
        <v>DEN/PHI</v>
      </c>
      <c r="AC124" s="3">
        <f t="shared" si="61"/>
        <v>1</v>
      </c>
      <c r="AD124" s="3">
        <f t="shared" si="62"/>
        <v>3</v>
      </c>
    </row>
    <row r="125" spans="1:30" ht="17.100000000000001" x14ac:dyDescent="0.45">
      <c r="A125" s="3">
        <v>191109</v>
      </c>
      <c r="B125" s="44">
        <v>0.45833333333333331</v>
      </c>
      <c r="C125" s="3" t="s">
        <v>48</v>
      </c>
      <c r="D125" s="3" t="s">
        <v>53</v>
      </c>
      <c r="E125" s="3">
        <v>30</v>
      </c>
      <c r="F125" s="3">
        <v>25</v>
      </c>
      <c r="G125" s="3">
        <v>26</v>
      </c>
      <c r="H125" s="3">
        <v>22</v>
      </c>
      <c r="J125" s="3">
        <v>16</v>
      </c>
      <c r="K125" s="3">
        <v>19</v>
      </c>
      <c r="L125" s="3">
        <v>39</v>
      </c>
      <c r="M125" s="3">
        <v>26</v>
      </c>
      <c r="O125" s="3">
        <f t="shared" si="50"/>
        <v>103</v>
      </c>
      <c r="P125" s="3">
        <f t="shared" si="51"/>
        <v>100</v>
      </c>
      <c r="Q125" s="3" t="str">
        <f t="shared" si="52"/>
        <v>HW</v>
      </c>
      <c r="R125" s="3" t="str">
        <f t="shared" si="53"/>
        <v>HW</v>
      </c>
      <c r="S125" s="3" t="str">
        <f t="shared" si="54"/>
        <v>HL</v>
      </c>
      <c r="T125" s="3" t="str">
        <f t="shared" si="55"/>
        <v>HL</v>
      </c>
      <c r="U125" s="3" t="str">
        <f t="shared" si="56"/>
        <v>U</v>
      </c>
      <c r="V125" s="3" t="str">
        <f t="shared" si="57"/>
        <v>U</v>
      </c>
      <c r="W125" s="3" t="str">
        <f t="shared" si="58"/>
        <v>O</v>
      </c>
      <c r="X125" s="3" t="str">
        <f t="shared" si="59"/>
        <v>U</v>
      </c>
      <c r="Z125" s="3">
        <v>52.5</v>
      </c>
      <c r="AB125" s="3" t="str">
        <f t="shared" si="60"/>
        <v>UTA/MIL</v>
      </c>
      <c r="AC125" s="3">
        <f t="shared" si="61"/>
        <v>1</v>
      </c>
      <c r="AD125" s="3">
        <f t="shared" si="62"/>
        <v>3</v>
      </c>
    </row>
    <row r="126" spans="1:30" ht="17.100000000000001" x14ac:dyDescent="0.45">
      <c r="A126" s="3">
        <v>191109</v>
      </c>
      <c r="B126" s="44">
        <v>0.5</v>
      </c>
      <c r="C126" s="3" t="s">
        <v>45</v>
      </c>
      <c r="D126" s="3" t="s">
        <v>30</v>
      </c>
      <c r="E126" s="3">
        <v>20</v>
      </c>
      <c r="F126" s="3">
        <v>29</v>
      </c>
      <c r="G126" s="3">
        <v>37</v>
      </c>
      <c r="H126" s="3">
        <v>29</v>
      </c>
      <c r="J126" s="3">
        <v>26</v>
      </c>
      <c r="K126" s="3">
        <v>28</v>
      </c>
      <c r="L126" s="3">
        <v>35</v>
      </c>
      <c r="M126" s="3">
        <v>30</v>
      </c>
      <c r="O126" s="3">
        <f t="shared" si="50"/>
        <v>115</v>
      </c>
      <c r="P126" s="3">
        <f t="shared" si="51"/>
        <v>119</v>
      </c>
      <c r="Q126" s="3" t="str">
        <f t="shared" si="52"/>
        <v>HL</v>
      </c>
      <c r="R126" s="3" t="str">
        <f t="shared" si="53"/>
        <v>HW</v>
      </c>
      <c r="S126" s="3" t="str">
        <f t="shared" si="54"/>
        <v>HW</v>
      </c>
      <c r="T126" s="3" t="str">
        <f t="shared" si="55"/>
        <v>HL</v>
      </c>
      <c r="U126" s="3" t="str">
        <f t="shared" si="56"/>
        <v>U</v>
      </c>
      <c r="V126" s="3" t="str">
        <f t="shared" si="57"/>
        <v>U</v>
      </c>
      <c r="W126" s="3" t="str">
        <f t="shared" si="58"/>
        <v>O</v>
      </c>
      <c r="X126" s="3" t="str">
        <f t="shared" si="59"/>
        <v>O</v>
      </c>
      <c r="Z126" s="3">
        <v>57.5</v>
      </c>
      <c r="AB126" s="3" t="str">
        <f t="shared" si="60"/>
        <v>POR/BKN</v>
      </c>
      <c r="AC126" s="3">
        <f t="shared" si="61"/>
        <v>2</v>
      </c>
      <c r="AD126" s="3">
        <f t="shared" si="62"/>
        <v>2</v>
      </c>
    </row>
    <row r="127" spans="1:30" ht="17.100000000000001" x14ac:dyDescent="0.45">
      <c r="A127" s="3">
        <v>191109</v>
      </c>
      <c r="B127" s="44">
        <v>0.52083333333333337</v>
      </c>
      <c r="C127" s="3" t="s">
        <v>26</v>
      </c>
      <c r="D127" s="3" t="s">
        <v>37</v>
      </c>
      <c r="E127" s="3">
        <v>28</v>
      </c>
      <c r="F127" s="3">
        <v>20</v>
      </c>
      <c r="G127" s="3">
        <v>30</v>
      </c>
      <c r="H127" s="3">
        <v>17</v>
      </c>
      <c r="J127" s="3">
        <v>21</v>
      </c>
      <c r="K127" s="3">
        <v>25</v>
      </c>
      <c r="L127" s="3">
        <v>20</v>
      </c>
      <c r="M127" s="3">
        <v>14</v>
      </c>
      <c r="O127" s="3">
        <f t="shared" si="50"/>
        <v>95</v>
      </c>
      <c r="P127" s="3">
        <f t="shared" si="51"/>
        <v>80</v>
      </c>
      <c r="Q127" s="3" t="str">
        <f t="shared" si="52"/>
        <v>HW</v>
      </c>
      <c r="R127" s="3" t="str">
        <f t="shared" si="53"/>
        <v>HL</v>
      </c>
      <c r="S127" s="3" t="str">
        <f t="shared" si="54"/>
        <v>HW</v>
      </c>
      <c r="T127" s="3" t="str">
        <f t="shared" si="55"/>
        <v>HW</v>
      </c>
      <c r="U127" s="3" t="str">
        <f t="shared" si="56"/>
        <v>U</v>
      </c>
      <c r="V127" s="3" t="str">
        <f t="shared" si="57"/>
        <v>U</v>
      </c>
      <c r="W127" s="3" t="str">
        <f t="shared" si="58"/>
        <v>U</v>
      </c>
      <c r="X127" s="3" t="str">
        <f t="shared" si="59"/>
        <v>U</v>
      </c>
      <c r="Z127" s="3">
        <v>56</v>
      </c>
      <c r="AB127" s="3" t="str">
        <f t="shared" si="60"/>
        <v>LAL/MIA</v>
      </c>
      <c r="AC127" s="3">
        <f t="shared" si="61"/>
        <v>0</v>
      </c>
      <c r="AD127" s="3">
        <f t="shared" si="62"/>
        <v>4</v>
      </c>
    </row>
    <row r="128" spans="1:30" ht="17.100000000000001" x14ac:dyDescent="0.45">
      <c r="A128" s="3">
        <v>191110</v>
      </c>
      <c r="B128" s="44">
        <v>0.29166666666666669</v>
      </c>
      <c r="C128" s="3" t="s">
        <v>153</v>
      </c>
      <c r="D128" s="3" t="s">
        <v>154</v>
      </c>
      <c r="E128" s="3">
        <v>30</v>
      </c>
      <c r="F128" s="3">
        <v>24</v>
      </c>
      <c r="G128" s="3">
        <v>37</v>
      </c>
      <c r="H128" s="3">
        <v>24</v>
      </c>
      <c r="J128" s="3">
        <v>39</v>
      </c>
      <c r="K128" s="3">
        <v>33</v>
      </c>
      <c r="L128" s="3">
        <v>32</v>
      </c>
      <c r="M128" s="3">
        <v>31</v>
      </c>
      <c r="O128" s="3">
        <f t="shared" si="50"/>
        <v>115</v>
      </c>
      <c r="P128" s="3">
        <f t="shared" si="51"/>
        <v>135</v>
      </c>
      <c r="Q128" s="3" t="str">
        <f t="shared" si="52"/>
        <v>HL</v>
      </c>
      <c r="R128" s="3" t="str">
        <f t="shared" si="53"/>
        <v>HL</v>
      </c>
      <c r="S128" s="3" t="str">
        <f t="shared" si="54"/>
        <v>HW</v>
      </c>
      <c r="T128" s="3" t="str">
        <f t="shared" si="55"/>
        <v>HL</v>
      </c>
      <c r="U128" s="3" t="str">
        <f t="shared" si="56"/>
        <v>O</v>
      </c>
      <c r="V128" s="3" t="str">
        <f t="shared" si="57"/>
        <v>O</v>
      </c>
      <c r="W128" s="3" t="str">
        <f t="shared" si="58"/>
        <v>O</v>
      </c>
      <c r="X128" s="3" t="str">
        <f t="shared" si="59"/>
        <v>O</v>
      </c>
      <c r="Z128" s="3">
        <v>52.5</v>
      </c>
      <c r="AB128" s="3" t="str">
        <f t="shared" si="60"/>
        <v>SAS/BOS</v>
      </c>
      <c r="AC128" s="3">
        <f t="shared" si="61"/>
        <v>4</v>
      </c>
      <c r="AD128" s="3">
        <f t="shared" si="62"/>
        <v>0</v>
      </c>
    </row>
    <row r="129" spans="1:30" ht="17.100000000000001" x14ac:dyDescent="0.45">
      <c r="A129" s="3">
        <v>191110</v>
      </c>
      <c r="B129" s="44">
        <v>0.375</v>
      </c>
      <c r="C129" s="3" t="s">
        <v>155</v>
      </c>
      <c r="D129" s="3" t="s">
        <v>156</v>
      </c>
      <c r="E129" s="3">
        <v>28</v>
      </c>
      <c r="F129" s="3">
        <v>33</v>
      </c>
      <c r="G129" s="3">
        <v>25</v>
      </c>
      <c r="H129" s="3">
        <v>24</v>
      </c>
      <c r="J129" s="3">
        <v>33</v>
      </c>
      <c r="K129" s="3">
        <v>22</v>
      </c>
      <c r="L129" s="3">
        <v>26</v>
      </c>
      <c r="M129" s="3">
        <v>34</v>
      </c>
      <c r="O129" s="3">
        <f t="shared" si="50"/>
        <v>110</v>
      </c>
      <c r="P129" s="3">
        <f t="shared" si="51"/>
        <v>115</v>
      </c>
      <c r="Q129" s="3" t="str">
        <f t="shared" si="52"/>
        <v>HL</v>
      </c>
      <c r="R129" s="3" t="str">
        <f t="shared" si="53"/>
        <v>HW</v>
      </c>
      <c r="S129" s="3" t="str">
        <f t="shared" si="54"/>
        <v>HL</v>
      </c>
      <c r="T129" s="3" t="str">
        <f t="shared" si="55"/>
        <v>HL</v>
      </c>
      <c r="U129" s="3" t="str">
        <f t="shared" si="56"/>
        <v>O</v>
      </c>
      <c r="V129" s="3" t="str">
        <f t="shared" si="57"/>
        <v>U</v>
      </c>
      <c r="W129" s="3" t="str">
        <f t="shared" si="58"/>
        <v>U</v>
      </c>
      <c r="X129" s="3" t="str">
        <f t="shared" si="59"/>
        <v>U</v>
      </c>
      <c r="Z129" s="3">
        <v>59.5</v>
      </c>
      <c r="AB129" s="3" t="str">
        <f t="shared" si="60"/>
        <v>CHA/NO</v>
      </c>
      <c r="AC129" s="3">
        <f t="shared" si="61"/>
        <v>1</v>
      </c>
      <c r="AD129" s="3">
        <f t="shared" si="62"/>
        <v>3</v>
      </c>
    </row>
    <row r="130" spans="1:30" ht="17.100000000000001" x14ac:dyDescent="0.45">
      <c r="A130" s="3">
        <v>191110</v>
      </c>
      <c r="B130" s="44">
        <v>0.41666666666666669</v>
      </c>
      <c r="C130" s="3" t="s">
        <v>157</v>
      </c>
      <c r="D130" s="3" t="s">
        <v>158</v>
      </c>
      <c r="E130" s="3">
        <v>27</v>
      </c>
      <c r="F130" s="3">
        <v>22</v>
      </c>
      <c r="G130" s="3">
        <v>18</v>
      </c>
      <c r="H130" s="3">
        <v>27</v>
      </c>
      <c r="J130" s="3">
        <v>20</v>
      </c>
      <c r="K130" s="3">
        <v>30</v>
      </c>
      <c r="L130" s="3">
        <v>36</v>
      </c>
      <c r="M130" s="3">
        <v>31</v>
      </c>
      <c r="O130" s="3">
        <f t="shared" si="50"/>
        <v>94</v>
      </c>
      <c r="P130" s="3">
        <f t="shared" si="51"/>
        <v>117</v>
      </c>
      <c r="Q130" s="3" t="str">
        <f t="shared" si="52"/>
        <v>HW</v>
      </c>
      <c r="R130" s="3" t="str">
        <f t="shared" si="53"/>
        <v>HL</v>
      </c>
      <c r="S130" s="3" t="str">
        <f t="shared" si="54"/>
        <v>HL</v>
      </c>
      <c r="T130" s="3" t="str">
        <f t="shared" si="55"/>
        <v>HL</v>
      </c>
      <c r="U130" s="3" t="str">
        <f t="shared" si="56"/>
        <v>U</v>
      </c>
      <c r="V130" s="3" t="str">
        <f t="shared" si="57"/>
        <v>U</v>
      </c>
      <c r="W130" s="3" t="str">
        <f t="shared" si="58"/>
        <v>U</v>
      </c>
      <c r="X130" s="3" t="str">
        <f t="shared" si="59"/>
        <v>U</v>
      </c>
      <c r="Z130" s="3">
        <v>60.5</v>
      </c>
      <c r="AB130" s="3" t="str">
        <f t="shared" si="60"/>
        <v>CHI/HOU</v>
      </c>
      <c r="AC130" s="3">
        <f t="shared" si="61"/>
        <v>0</v>
      </c>
      <c r="AD130" s="3">
        <f t="shared" si="62"/>
        <v>4</v>
      </c>
    </row>
    <row r="131" spans="1:30" ht="17.100000000000001" x14ac:dyDescent="0.45">
      <c r="A131" s="3">
        <v>191110</v>
      </c>
      <c r="B131" s="44">
        <v>0.41666666666666669</v>
      </c>
      <c r="C131" s="3" t="s">
        <v>159</v>
      </c>
      <c r="D131" s="3" t="s">
        <v>160</v>
      </c>
      <c r="E131" s="3">
        <v>36</v>
      </c>
      <c r="F131" s="3">
        <v>24</v>
      </c>
      <c r="G131" s="3">
        <v>24</v>
      </c>
      <c r="H131" s="3">
        <v>30</v>
      </c>
      <c r="J131" s="3">
        <v>27</v>
      </c>
      <c r="K131" s="3">
        <v>16</v>
      </c>
      <c r="L131" s="3">
        <v>41</v>
      </c>
      <c r="M131" s="3">
        <v>24</v>
      </c>
      <c r="O131" s="3">
        <f t="shared" si="50"/>
        <v>114</v>
      </c>
      <c r="P131" s="3">
        <f t="shared" si="51"/>
        <v>108</v>
      </c>
      <c r="Q131" s="3" t="str">
        <f t="shared" si="52"/>
        <v>HW</v>
      </c>
      <c r="R131" s="3" t="str">
        <f t="shared" si="53"/>
        <v>HW</v>
      </c>
      <c r="S131" s="3" t="str">
        <f t="shared" si="54"/>
        <v>HL</v>
      </c>
      <c r="T131" s="3" t="str">
        <f t="shared" si="55"/>
        <v>HW</v>
      </c>
      <c r="U131" s="3" t="str">
        <f t="shared" si="56"/>
        <v>O</v>
      </c>
      <c r="V131" s="3" t="str">
        <f t="shared" si="57"/>
        <v>U</v>
      </c>
      <c r="W131" s="3" t="str">
        <f t="shared" si="58"/>
        <v>O</v>
      </c>
      <c r="X131" s="3" t="str">
        <f t="shared" si="59"/>
        <v>U</v>
      </c>
      <c r="Z131" s="3">
        <v>56.5</v>
      </c>
      <c r="AB131" s="3" t="str">
        <f t="shared" si="60"/>
        <v>OKC/GS</v>
      </c>
      <c r="AC131" s="3">
        <f t="shared" si="61"/>
        <v>2</v>
      </c>
      <c r="AD131" s="3">
        <f t="shared" si="62"/>
        <v>2</v>
      </c>
    </row>
    <row r="132" spans="1:30" ht="17.100000000000001" x14ac:dyDescent="0.45">
      <c r="A132" s="3">
        <v>191110</v>
      </c>
      <c r="B132" s="44">
        <v>0.41666666666666669</v>
      </c>
      <c r="C132" s="3" t="s">
        <v>161</v>
      </c>
      <c r="D132" s="3" t="s">
        <v>162</v>
      </c>
      <c r="E132" s="3">
        <v>34</v>
      </c>
      <c r="F132" s="3">
        <v>28</v>
      </c>
      <c r="G132" s="3">
        <v>29</v>
      </c>
      <c r="H132" s="3">
        <v>31</v>
      </c>
      <c r="J132" s="3">
        <v>31</v>
      </c>
      <c r="K132" s="3">
        <v>37</v>
      </c>
      <c r="L132" s="3">
        <v>36</v>
      </c>
      <c r="M132" s="3">
        <v>34</v>
      </c>
      <c r="O132" s="3">
        <f t="shared" si="50"/>
        <v>122</v>
      </c>
      <c r="P132" s="3">
        <f t="shared" si="51"/>
        <v>138</v>
      </c>
      <c r="Q132" s="3" t="str">
        <f t="shared" si="52"/>
        <v>HW</v>
      </c>
      <c r="R132" s="3" t="str">
        <f t="shared" si="53"/>
        <v>HL</v>
      </c>
      <c r="S132" s="3" t="str">
        <f t="shared" si="54"/>
        <v>HL</v>
      </c>
      <c r="T132" s="3" t="str">
        <f t="shared" si="55"/>
        <v>HL</v>
      </c>
      <c r="U132" s="3" t="str">
        <f t="shared" si="56"/>
        <v>O</v>
      </c>
      <c r="V132" s="3" t="str">
        <f t="shared" si="57"/>
        <v>O</v>
      </c>
      <c r="W132" s="3" t="str">
        <f t="shared" si="58"/>
        <v>O</v>
      </c>
      <c r="X132" s="3" t="str">
        <f t="shared" si="59"/>
        <v>O</v>
      </c>
      <c r="Z132" s="3">
        <v>56.5</v>
      </c>
      <c r="AB132" s="3" t="str">
        <f t="shared" si="60"/>
        <v>MEM/DAL</v>
      </c>
      <c r="AC132" s="3">
        <f t="shared" si="61"/>
        <v>4</v>
      </c>
      <c r="AD132" s="3">
        <f t="shared" si="62"/>
        <v>0</v>
      </c>
    </row>
    <row r="133" spans="1:30" ht="17.100000000000001" x14ac:dyDescent="0.45">
      <c r="A133" s="3">
        <v>191111</v>
      </c>
      <c r="B133" s="44">
        <v>0.22916666666666666</v>
      </c>
      <c r="C133" s="3" t="s">
        <v>163</v>
      </c>
      <c r="D133" s="3" t="s">
        <v>164</v>
      </c>
      <c r="E133" s="3">
        <v>27</v>
      </c>
      <c r="F133" s="3">
        <v>24</v>
      </c>
      <c r="G133" s="3">
        <v>13</v>
      </c>
      <c r="H133" s="3">
        <v>26</v>
      </c>
      <c r="I133" s="3">
        <v>8</v>
      </c>
      <c r="J133" s="3">
        <v>27</v>
      </c>
      <c r="K133" s="3">
        <v>22</v>
      </c>
      <c r="L133" s="3">
        <v>27</v>
      </c>
      <c r="M133" s="3">
        <v>14</v>
      </c>
      <c r="N133" s="3">
        <v>10</v>
      </c>
      <c r="O133" s="3">
        <f t="shared" si="50"/>
        <v>98</v>
      </c>
      <c r="P133" s="3">
        <f t="shared" si="51"/>
        <v>100</v>
      </c>
      <c r="Q133" s="3" t="str">
        <f t="shared" si="52"/>
        <v>TT</v>
      </c>
      <c r="R133" s="3" t="str">
        <f t="shared" si="53"/>
        <v>HW</v>
      </c>
      <c r="S133" s="3" t="str">
        <f t="shared" si="54"/>
        <v>HL</v>
      </c>
      <c r="T133" s="3" t="str">
        <f t="shared" si="55"/>
        <v>HW</v>
      </c>
      <c r="U133" s="3" t="str">
        <f t="shared" si="56"/>
        <v>U</v>
      </c>
      <c r="V133" s="3" t="str">
        <f t="shared" si="57"/>
        <v>U</v>
      </c>
      <c r="W133" s="3" t="str">
        <f t="shared" si="58"/>
        <v>U</v>
      </c>
      <c r="X133" s="3" t="str">
        <f t="shared" si="59"/>
        <v>U</v>
      </c>
      <c r="Z133" s="3">
        <v>56</v>
      </c>
      <c r="AB133" s="3" t="str">
        <f t="shared" si="60"/>
        <v>MIN/DEN</v>
      </c>
      <c r="AC133" s="3">
        <f t="shared" si="61"/>
        <v>0</v>
      </c>
      <c r="AD133" s="3">
        <f t="shared" si="62"/>
        <v>4</v>
      </c>
    </row>
    <row r="134" spans="1:30" ht="17.100000000000001" x14ac:dyDescent="0.45">
      <c r="A134" s="3">
        <v>191111</v>
      </c>
      <c r="B134" s="44">
        <v>0.33333333333333331</v>
      </c>
      <c r="C134" s="3" t="s">
        <v>165</v>
      </c>
      <c r="D134" s="3" t="s">
        <v>166</v>
      </c>
      <c r="E134" s="3">
        <v>33</v>
      </c>
      <c r="F134" s="3">
        <v>27</v>
      </c>
      <c r="G134" s="3">
        <v>17</v>
      </c>
      <c r="H134" s="3">
        <v>25</v>
      </c>
      <c r="J134" s="3">
        <v>29</v>
      </c>
      <c r="K134" s="3">
        <v>22</v>
      </c>
      <c r="L134" s="3">
        <v>30</v>
      </c>
      <c r="M134" s="3">
        <v>28</v>
      </c>
      <c r="O134" s="3">
        <f t="shared" si="50"/>
        <v>102</v>
      </c>
      <c r="P134" s="3">
        <f t="shared" si="51"/>
        <v>109</v>
      </c>
      <c r="Q134" s="3" t="str">
        <f t="shared" si="52"/>
        <v>HW</v>
      </c>
      <c r="R134" s="3" t="str">
        <f t="shared" si="53"/>
        <v>HW</v>
      </c>
      <c r="S134" s="3" t="str">
        <f t="shared" si="54"/>
        <v>HL</v>
      </c>
      <c r="T134" s="3" t="str">
        <f t="shared" si="55"/>
        <v>HL</v>
      </c>
      <c r="U134" s="3" t="str">
        <f t="shared" si="56"/>
        <v>O</v>
      </c>
      <c r="V134" s="3" t="str">
        <f t="shared" si="57"/>
        <v>U</v>
      </c>
      <c r="W134" s="3" t="str">
        <f t="shared" si="58"/>
        <v>U</v>
      </c>
      <c r="X134" s="3" t="str">
        <f t="shared" si="59"/>
        <v>O</v>
      </c>
      <c r="Z134" s="3">
        <v>52</v>
      </c>
      <c r="AB134" s="3" t="str">
        <f t="shared" si="60"/>
        <v>ORL/IND</v>
      </c>
      <c r="AC134" s="3">
        <f t="shared" si="61"/>
        <v>2</v>
      </c>
      <c r="AD134" s="3">
        <f t="shared" si="62"/>
        <v>2</v>
      </c>
    </row>
    <row r="135" spans="1:30" ht="17.100000000000001" x14ac:dyDescent="0.45">
      <c r="A135" s="3">
        <v>191111</v>
      </c>
      <c r="B135" s="44">
        <v>0.33333333333333331</v>
      </c>
      <c r="C135" s="3" t="s">
        <v>167</v>
      </c>
      <c r="D135" s="3" t="s">
        <v>155</v>
      </c>
      <c r="E135" s="3">
        <v>33</v>
      </c>
      <c r="F135" s="3">
        <v>20</v>
      </c>
      <c r="G135" s="3">
        <v>35</v>
      </c>
      <c r="H135" s="3">
        <v>26</v>
      </c>
      <c r="J135" s="3">
        <v>24</v>
      </c>
      <c r="K135" s="3">
        <v>34</v>
      </c>
      <c r="L135" s="3">
        <v>23</v>
      </c>
      <c r="M135" s="3">
        <v>25</v>
      </c>
      <c r="O135" s="3">
        <f t="shared" si="50"/>
        <v>114</v>
      </c>
      <c r="P135" s="3">
        <f t="shared" si="51"/>
        <v>106</v>
      </c>
      <c r="Q135" s="3" t="str">
        <f t="shared" si="52"/>
        <v>HW</v>
      </c>
      <c r="R135" s="3" t="str">
        <f t="shared" si="53"/>
        <v>HL</v>
      </c>
      <c r="S135" s="3" t="str">
        <f t="shared" si="54"/>
        <v>HW</v>
      </c>
      <c r="T135" s="3" t="str">
        <f t="shared" si="55"/>
        <v>HW</v>
      </c>
      <c r="U135" s="3" t="str">
        <f t="shared" si="56"/>
        <v>O</v>
      </c>
      <c r="V135" s="3" t="str">
        <f t="shared" si="57"/>
        <v>U</v>
      </c>
      <c r="W135" s="3" t="str">
        <f t="shared" si="58"/>
        <v>O</v>
      </c>
      <c r="X135" s="3" t="str">
        <f t="shared" si="59"/>
        <v>U</v>
      </c>
      <c r="Z135" s="3">
        <v>55.5</v>
      </c>
      <c r="AB135" s="3" t="str">
        <f t="shared" si="60"/>
        <v>PHI/CHA</v>
      </c>
      <c r="AC135" s="3">
        <f t="shared" si="61"/>
        <v>2</v>
      </c>
      <c r="AD135" s="3">
        <f t="shared" si="62"/>
        <v>2</v>
      </c>
    </row>
    <row r="136" spans="1:30" ht="17.100000000000001" x14ac:dyDescent="0.45">
      <c r="A136" s="3">
        <v>191111</v>
      </c>
      <c r="B136" s="44">
        <v>0.375</v>
      </c>
      <c r="C136" s="3" t="s">
        <v>159</v>
      </c>
      <c r="D136" s="3" t="s">
        <v>168</v>
      </c>
      <c r="E136" s="3">
        <v>24</v>
      </c>
      <c r="F136" s="3">
        <v>32</v>
      </c>
      <c r="G136" s="3">
        <v>24</v>
      </c>
      <c r="H136" s="3">
        <v>39</v>
      </c>
      <c r="J136" s="3">
        <v>21</v>
      </c>
      <c r="K136" s="3">
        <v>29</v>
      </c>
      <c r="L136" s="3">
        <v>37</v>
      </c>
      <c r="M136" s="3">
        <v>34</v>
      </c>
      <c r="O136" s="3">
        <f t="shared" si="50"/>
        <v>119</v>
      </c>
      <c r="P136" s="3">
        <f t="shared" si="51"/>
        <v>121</v>
      </c>
      <c r="Q136" s="3" t="str">
        <f t="shared" si="52"/>
        <v>HW</v>
      </c>
      <c r="R136" s="3" t="str">
        <f t="shared" si="53"/>
        <v>HW</v>
      </c>
      <c r="S136" s="3" t="str">
        <f t="shared" si="54"/>
        <v>HL</v>
      </c>
      <c r="T136" s="3" t="str">
        <f t="shared" si="55"/>
        <v>HW</v>
      </c>
      <c r="U136" s="3" t="str">
        <f t="shared" si="56"/>
        <v>U</v>
      </c>
      <c r="V136" s="3" t="str">
        <f t="shared" si="57"/>
        <v>O</v>
      </c>
      <c r="W136" s="3" t="str">
        <f t="shared" si="58"/>
        <v>O</v>
      </c>
      <c r="X136" s="3" t="str">
        <f t="shared" si="59"/>
        <v>O</v>
      </c>
      <c r="Z136" s="3">
        <v>53.5</v>
      </c>
      <c r="AB136" s="3" t="str">
        <f t="shared" si="60"/>
        <v>OKC/MIL</v>
      </c>
      <c r="AC136" s="3">
        <f t="shared" si="61"/>
        <v>3</v>
      </c>
      <c r="AD136" s="3">
        <f t="shared" si="62"/>
        <v>1</v>
      </c>
    </row>
    <row r="137" spans="1:30" ht="17.100000000000001" x14ac:dyDescent="0.45">
      <c r="A137" s="3">
        <v>191111</v>
      </c>
      <c r="B137" s="44">
        <v>0.39583333333333331</v>
      </c>
      <c r="C137" s="3" t="s">
        <v>47</v>
      </c>
      <c r="D137" s="3" t="s">
        <v>169</v>
      </c>
      <c r="E137" s="3">
        <v>19</v>
      </c>
      <c r="F137" s="3">
        <v>17</v>
      </c>
      <c r="G137" s="3">
        <v>27</v>
      </c>
      <c r="H137" s="3">
        <v>24</v>
      </c>
      <c r="J137" s="3">
        <v>31</v>
      </c>
      <c r="K137" s="3">
        <v>23</v>
      </c>
      <c r="L137" s="3">
        <v>24</v>
      </c>
      <c r="M137" s="3">
        <v>30</v>
      </c>
      <c r="O137" s="3">
        <f t="shared" si="50"/>
        <v>87</v>
      </c>
      <c r="P137" s="3">
        <f t="shared" si="51"/>
        <v>108</v>
      </c>
      <c r="Q137" s="3" t="str">
        <f t="shared" si="52"/>
        <v>HL</v>
      </c>
      <c r="R137" s="3" t="str">
        <f t="shared" si="53"/>
        <v>HL</v>
      </c>
      <c r="S137" s="3" t="str">
        <f t="shared" si="54"/>
        <v>HW</v>
      </c>
      <c r="T137" s="3" t="str">
        <f t="shared" si="55"/>
        <v>HL</v>
      </c>
      <c r="U137" s="3" t="str">
        <f t="shared" si="56"/>
        <v>U</v>
      </c>
      <c r="V137" s="3" t="str">
        <f t="shared" si="57"/>
        <v>U</v>
      </c>
      <c r="W137" s="3" t="str">
        <f t="shared" si="58"/>
        <v>U</v>
      </c>
      <c r="X137" s="3" t="str">
        <f t="shared" si="59"/>
        <v>O</v>
      </c>
      <c r="Z137" s="3">
        <v>52</v>
      </c>
      <c r="AB137" s="3" t="str">
        <f t="shared" si="60"/>
        <v>NYK/CLE</v>
      </c>
      <c r="AC137" s="3">
        <f t="shared" si="61"/>
        <v>1</v>
      </c>
      <c r="AD137" s="3">
        <f t="shared" si="62"/>
        <v>3</v>
      </c>
    </row>
    <row r="138" spans="1:30" ht="17.100000000000001" x14ac:dyDescent="0.45">
      <c r="A138" s="3">
        <v>191111</v>
      </c>
      <c r="B138" s="44">
        <v>0.41666666666666669</v>
      </c>
      <c r="C138" s="3" t="s">
        <v>170</v>
      </c>
      <c r="D138" s="3" t="s">
        <v>171</v>
      </c>
      <c r="E138" s="3">
        <v>37</v>
      </c>
      <c r="F138" s="3">
        <v>31</v>
      </c>
      <c r="G138" s="3">
        <v>38</v>
      </c>
      <c r="H138" s="3">
        <v>32</v>
      </c>
      <c r="J138" s="3">
        <v>30</v>
      </c>
      <c r="K138" s="3">
        <v>20</v>
      </c>
      <c r="L138" s="3">
        <v>30</v>
      </c>
      <c r="M138" s="3">
        <v>32</v>
      </c>
      <c r="O138" s="3">
        <f t="shared" si="50"/>
        <v>138</v>
      </c>
      <c r="P138" s="3">
        <f t="shared" si="51"/>
        <v>112</v>
      </c>
      <c r="Q138" s="3" t="str">
        <f t="shared" si="52"/>
        <v>HW</v>
      </c>
      <c r="R138" s="3" t="str">
        <f t="shared" si="53"/>
        <v>HW</v>
      </c>
      <c r="S138" s="3" t="str">
        <f t="shared" si="54"/>
        <v>HW</v>
      </c>
      <c r="T138" s="3" t="str">
        <f t="shared" si="55"/>
        <v>TT</v>
      </c>
      <c r="U138" s="3" t="str">
        <f t="shared" si="56"/>
        <v>O</v>
      </c>
      <c r="V138" s="3" t="str">
        <f t="shared" si="57"/>
        <v>U</v>
      </c>
      <c r="W138" s="3" t="str">
        <f t="shared" si="58"/>
        <v>O</v>
      </c>
      <c r="X138" s="3" t="str">
        <f t="shared" si="59"/>
        <v>O</v>
      </c>
      <c r="Z138" s="3">
        <v>56.5</v>
      </c>
      <c r="AB138" s="3" t="str">
        <f t="shared" si="60"/>
        <v>PHO/BKN</v>
      </c>
      <c r="AC138" s="3">
        <f t="shared" si="61"/>
        <v>3</v>
      </c>
      <c r="AD138" s="3">
        <f t="shared" si="62"/>
        <v>1</v>
      </c>
    </row>
    <row r="139" spans="1:30" ht="17.100000000000001" x14ac:dyDescent="0.45">
      <c r="A139" s="3">
        <v>191111</v>
      </c>
      <c r="B139" s="44">
        <v>0.45833333333333331</v>
      </c>
      <c r="C139" s="3" t="s">
        <v>172</v>
      </c>
      <c r="D139" s="3" t="s">
        <v>173</v>
      </c>
      <c r="E139" s="3">
        <v>20</v>
      </c>
      <c r="F139" s="3">
        <v>26</v>
      </c>
      <c r="G139" s="3">
        <v>29</v>
      </c>
      <c r="H139" s="3">
        <v>32</v>
      </c>
      <c r="I139" s="3">
        <v>17</v>
      </c>
      <c r="J139" s="3">
        <v>21</v>
      </c>
      <c r="K139" s="3">
        <v>23</v>
      </c>
      <c r="L139" s="3">
        <v>31</v>
      </c>
      <c r="M139" s="3">
        <v>32</v>
      </c>
      <c r="N139" s="3">
        <v>6</v>
      </c>
      <c r="O139" s="3">
        <f t="shared" si="50"/>
        <v>124</v>
      </c>
      <c r="P139" s="3">
        <f t="shared" si="51"/>
        <v>113</v>
      </c>
      <c r="Q139" s="3" t="str">
        <f t="shared" si="52"/>
        <v>HL</v>
      </c>
      <c r="R139" s="3" t="str">
        <f t="shared" si="53"/>
        <v>HW</v>
      </c>
      <c r="S139" s="3" t="str">
        <f t="shared" si="54"/>
        <v>HL</v>
      </c>
      <c r="T139" s="3" t="str">
        <f t="shared" si="55"/>
        <v>TT</v>
      </c>
      <c r="U139" s="3" t="str">
        <f t="shared" si="56"/>
        <v>U</v>
      </c>
      <c r="V139" s="3" t="str">
        <f t="shared" si="57"/>
        <v>U</v>
      </c>
      <c r="W139" s="3" t="str">
        <f t="shared" si="58"/>
        <v>O</v>
      </c>
      <c r="X139" s="3" t="str">
        <f t="shared" si="59"/>
        <v>O</v>
      </c>
      <c r="Z139" s="3">
        <v>58</v>
      </c>
      <c r="AB139" s="3" t="str">
        <f t="shared" si="60"/>
        <v>POR/ATL</v>
      </c>
      <c r="AC139" s="3">
        <f t="shared" si="61"/>
        <v>2</v>
      </c>
      <c r="AD139" s="3">
        <f t="shared" si="62"/>
        <v>2</v>
      </c>
    </row>
    <row r="140" spans="1:30" ht="17.100000000000001" x14ac:dyDescent="0.45">
      <c r="A140" s="3">
        <v>191111</v>
      </c>
      <c r="B140" s="44">
        <v>0.47916666666666669</v>
      </c>
      <c r="C140" s="3" t="s">
        <v>174</v>
      </c>
      <c r="D140" s="3" t="s">
        <v>175</v>
      </c>
      <c r="E140" s="3">
        <v>30</v>
      </c>
      <c r="F140" s="3">
        <v>30</v>
      </c>
      <c r="G140" s="3">
        <v>18</v>
      </c>
      <c r="H140" s="3">
        <v>26</v>
      </c>
      <c r="J140" s="3">
        <v>29</v>
      </c>
      <c r="K140" s="3">
        <v>23</v>
      </c>
      <c r="L140" s="3">
        <v>26</v>
      </c>
      <c r="M140" s="3">
        <v>35</v>
      </c>
      <c r="O140" s="3">
        <f t="shared" si="50"/>
        <v>104</v>
      </c>
      <c r="P140" s="3">
        <f t="shared" si="51"/>
        <v>113</v>
      </c>
      <c r="Q140" s="3" t="str">
        <f t="shared" si="52"/>
        <v>HW</v>
      </c>
      <c r="R140" s="3" t="str">
        <f t="shared" si="53"/>
        <v>HW</v>
      </c>
      <c r="S140" s="3" t="str">
        <f t="shared" si="54"/>
        <v>HL</v>
      </c>
      <c r="T140" s="3" t="str">
        <f t="shared" si="55"/>
        <v>HL</v>
      </c>
      <c r="U140" s="3" t="str">
        <f t="shared" si="56"/>
        <v>O</v>
      </c>
      <c r="V140" s="3" t="str">
        <f t="shared" si="57"/>
        <v>U</v>
      </c>
      <c r="W140" s="3" t="str">
        <f t="shared" si="58"/>
        <v>U</v>
      </c>
      <c r="X140" s="3" t="str">
        <f t="shared" si="59"/>
        <v>O</v>
      </c>
      <c r="Z140" s="3">
        <v>54.5</v>
      </c>
      <c r="AB140" s="3" t="str">
        <f t="shared" si="60"/>
        <v>LAL/TOR</v>
      </c>
      <c r="AC140" s="3">
        <f t="shared" si="61"/>
        <v>2</v>
      </c>
      <c r="AD140" s="3">
        <f t="shared" si="62"/>
        <v>2</v>
      </c>
    </row>
    <row r="141" spans="1:30" ht="17.100000000000001" x14ac:dyDescent="0.45">
      <c r="A141" s="3">
        <v>191112</v>
      </c>
      <c r="B141" s="44">
        <v>0.375</v>
      </c>
      <c r="C141" s="3" t="s">
        <v>176</v>
      </c>
      <c r="D141" s="3" t="s">
        <v>163</v>
      </c>
      <c r="E141" s="3">
        <v>26</v>
      </c>
      <c r="F141" s="3">
        <v>25</v>
      </c>
      <c r="G141" s="3">
        <v>30</v>
      </c>
      <c r="H141" s="3">
        <v>33</v>
      </c>
      <c r="J141" s="3">
        <v>41</v>
      </c>
      <c r="K141" s="3">
        <v>25</v>
      </c>
      <c r="L141" s="3">
        <v>26</v>
      </c>
      <c r="M141" s="3">
        <v>28</v>
      </c>
      <c r="O141" s="3">
        <f t="shared" si="50"/>
        <v>114</v>
      </c>
      <c r="P141" s="3">
        <f t="shared" si="51"/>
        <v>120</v>
      </c>
      <c r="Q141" s="3" t="str">
        <f t="shared" si="52"/>
        <v>HL</v>
      </c>
      <c r="R141" s="3" t="str">
        <f t="shared" si="53"/>
        <v>TT</v>
      </c>
      <c r="S141" s="3" t="str">
        <f t="shared" si="54"/>
        <v>HW</v>
      </c>
      <c r="T141" s="3" t="str">
        <f t="shared" si="55"/>
        <v>HW</v>
      </c>
      <c r="U141" s="3" t="str">
        <f t="shared" si="56"/>
        <v>O</v>
      </c>
      <c r="V141" s="3" t="str">
        <f t="shared" si="57"/>
        <v>U</v>
      </c>
      <c r="W141" s="3" t="str">
        <f t="shared" si="58"/>
        <v>U</v>
      </c>
      <c r="X141" s="3" t="str">
        <f t="shared" si="59"/>
        <v>O</v>
      </c>
      <c r="Z141" s="3">
        <v>58</v>
      </c>
      <c r="AB141" s="3" t="str">
        <f t="shared" si="60"/>
        <v>DET/MIN</v>
      </c>
      <c r="AC141" s="3">
        <f t="shared" si="61"/>
        <v>2</v>
      </c>
      <c r="AD141" s="3">
        <f t="shared" si="62"/>
        <v>2</v>
      </c>
    </row>
    <row r="142" spans="1:30" ht="17.100000000000001" x14ac:dyDescent="0.45">
      <c r="A142" s="3">
        <v>191112</v>
      </c>
      <c r="B142" s="44">
        <v>0.39583333333333331</v>
      </c>
      <c r="C142" s="3" t="s">
        <v>154</v>
      </c>
      <c r="D142" s="3" t="s">
        <v>162</v>
      </c>
      <c r="E142" s="3">
        <v>25</v>
      </c>
      <c r="F142" s="3">
        <v>29</v>
      </c>
      <c r="G142" s="3">
        <v>30</v>
      </c>
      <c r="H142" s="3">
        <v>32</v>
      </c>
      <c r="J142" s="3">
        <v>21</v>
      </c>
      <c r="K142" s="3">
        <v>33</v>
      </c>
      <c r="L142" s="3">
        <v>25</v>
      </c>
      <c r="M142" s="3">
        <v>27</v>
      </c>
      <c r="O142" s="3">
        <f t="shared" si="50"/>
        <v>116</v>
      </c>
      <c r="P142" s="3">
        <f t="shared" si="51"/>
        <v>106</v>
      </c>
      <c r="Q142" s="3" t="str">
        <f t="shared" si="52"/>
        <v>HW</v>
      </c>
      <c r="R142" s="3" t="str">
        <f t="shared" si="53"/>
        <v>HL</v>
      </c>
      <c r="S142" s="3" t="str">
        <f t="shared" si="54"/>
        <v>HW</v>
      </c>
      <c r="T142" s="3" t="str">
        <f t="shared" si="55"/>
        <v>HW</v>
      </c>
      <c r="U142" s="3" t="str">
        <f t="shared" si="56"/>
        <v>U</v>
      </c>
      <c r="V142" s="3" t="str">
        <f t="shared" si="57"/>
        <v>O</v>
      </c>
      <c r="W142" s="3" t="str">
        <f t="shared" si="58"/>
        <v>U</v>
      </c>
      <c r="X142" s="3" t="str">
        <f t="shared" si="59"/>
        <v>O</v>
      </c>
      <c r="Z142" s="3">
        <v>56</v>
      </c>
      <c r="AB142" s="3" t="str">
        <f t="shared" si="60"/>
        <v>BOS/DAL</v>
      </c>
      <c r="AC142" s="3">
        <f t="shared" si="61"/>
        <v>2</v>
      </c>
      <c r="AD142" s="3">
        <f t="shared" si="62"/>
        <v>2</v>
      </c>
    </row>
    <row r="143" spans="1:30" ht="17.100000000000001" x14ac:dyDescent="0.45">
      <c r="A143" s="3">
        <v>191112</v>
      </c>
      <c r="B143" s="44">
        <v>0.39583333333333331</v>
      </c>
      <c r="C143" s="3" t="s">
        <v>153</v>
      </c>
      <c r="D143" s="3" t="s">
        <v>161</v>
      </c>
      <c r="E143" s="3">
        <v>22</v>
      </c>
      <c r="F143" s="3">
        <v>32</v>
      </c>
      <c r="G143" s="3">
        <v>26</v>
      </c>
      <c r="H143" s="3">
        <v>29</v>
      </c>
      <c r="J143" s="3">
        <v>35</v>
      </c>
      <c r="K143" s="3">
        <v>22</v>
      </c>
      <c r="L143" s="3">
        <v>34</v>
      </c>
      <c r="M143" s="3">
        <v>22</v>
      </c>
      <c r="O143" s="3">
        <f t="shared" si="50"/>
        <v>109</v>
      </c>
      <c r="P143" s="3">
        <f t="shared" si="51"/>
        <v>113</v>
      </c>
      <c r="Q143" s="3" t="str">
        <f t="shared" si="52"/>
        <v>HL</v>
      </c>
      <c r="R143" s="3" t="str">
        <f t="shared" si="53"/>
        <v>HW</v>
      </c>
      <c r="S143" s="3" t="str">
        <f t="shared" si="54"/>
        <v>HL</v>
      </c>
      <c r="T143" s="3" t="str">
        <f t="shared" si="55"/>
        <v>HW</v>
      </c>
      <c r="U143" s="3" t="str">
        <f t="shared" si="56"/>
        <v>O</v>
      </c>
      <c r="V143" s="3" t="str">
        <f t="shared" si="57"/>
        <v>U</v>
      </c>
      <c r="W143" s="3" t="str">
        <f t="shared" si="58"/>
        <v>O</v>
      </c>
      <c r="X143" s="3" t="str">
        <f t="shared" si="59"/>
        <v>U</v>
      </c>
      <c r="Z143" s="3">
        <v>55</v>
      </c>
      <c r="AB143" s="3" t="str">
        <f t="shared" si="60"/>
        <v>SAS/MEM</v>
      </c>
      <c r="AC143" s="3">
        <f t="shared" si="61"/>
        <v>2</v>
      </c>
      <c r="AD143" s="3">
        <f t="shared" si="62"/>
        <v>2</v>
      </c>
    </row>
    <row r="144" spans="1:30" ht="17.100000000000001" x14ac:dyDescent="0.45">
      <c r="A144" s="3">
        <v>191112</v>
      </c>
      <c r="B144" s="44">
        <v>0.41666666666666669</v>
      </c>
      <c r="C144" s="3" t="s">
        <v>156</v>
      </c>
      <c r="D144" s="3" t="s">
        <v>158</v>
      </c>
      <c r="E144" s="3">
        <v>23</v>
      </c>
      <c r="F144" s="3">
        <v>29</v>
      </c>
      <c r="G144" s="3">
        <v>30</v>
      </c>
      <c r="H144" s="3">
        <v>34</v>
      </c>
      <c r="J144" s="3">
        <v>30</v>
      </c>
      <c r="K144" s="3">
        <v>28</v>
      </c>
      <c r="L144" s="3">
        <v>32</v>
      </c>
      <c r="M144" s="3">
        <v>32</v>
      </c>
      <c r="O144" s="3">
        <f t="shared" si="50"/>
        <v>116</v>
      </c>
      <c r="P144" s="3">
        <f t="shared" si="51"/>
        <v>122</v>
      </c>
      <c r="Q144" s="3" t="str">
        <f t="shared" si="52"/>
        <v>HL</v>
      </c>
      <c r="R144" s="3" t="str">
        <f t="shared" si="53"/>
        <v>HW</v>
      </c>
      <c r="S144" s="3" t="str">
        <f t="shared" si="54"/>
        <v>HL</v>
      </c>
      <c r="T144" s="3" t="str">
        <f t="shared" si="55"/>
        <v>HW</v>
      </c>
      <c r="U144" s="3" t="str">
        <f t="shared" si="56"/>
        <v>U</v>
      </c>
      <c r="V144" s="3" t="str">
        <f t="shared" si="57"/>
        <v>U</v>
      </c>
      <c r="W144" s="3" t="str">
        <f t="shared" si="58"/>
        <v>U</v>
      </c>
      <c r="X144" s="3" t="str">
        <f t="shared" si="59"/>
        <v>O</v>
      </c>
      <c r="Z144" s="3">
        <v>62.5</v>
      </c>
      <c r="AB144" s="3" t="str">
        <f t="shared" si="60"/>
        <v>NO/HOU</v>
      </c>
      <c r="AC144" s="3">
        <f t="shared" si="61"/>
        <v>1</v>
      </c>
      <c r="AD144" s="3">
        <f t="shared" si="62"/>
        <v>3</v>
      </c>
    </row>
    <row r="145" spans="1:30" ht="17.100000000000001" x14ac:dyDescent="0.45">
      <c r="A145" s="3">
        <v>191112</v>
      </c>
      <c r="B145" s="44">
        <v>0.52083333333333337</v>
      </c>
      <c r="C145" s="3" t="s">
        <v>160</v>
      </c>
      <c r="D145" s="3" t="s">
        <v>177</v>
      </c>
      <c r="E145" s="3">
        <v>30</v>
      </c>
      <c r="F145" s="3">
        <v>24</v>
      </c>
      <c r="G145" s="3">
        <v>31</v>
      </c>
      <c r="H145" s="3">
        <v>23</v>
      </c>
      <c r="J145" s="3">
        <v>34</v>
      </c>
      <c r="K145" s="3">
        <v>35</v>
      </c>
      <c r="L145" s="3">
        <v>28</v>
      </c>
      <c r="M145" s="3">
        <v>25</v>
      </c>
      <c r="O145" s="3">
        <f t="shared" si="50"/>
        <v>108</v>
      </c>
      <c r="P145" s="3">
        <f t="shared" si="51"/>
        <v>122</v>
      </c>
      <c r="Q145" s="3" t="str">
        <f t="shared" si="52"/>
        <v>HL</v>
      </c>
      <c r="R145" s="3" t="str">
        <f t="shared" si="53"/>
        <v>HL</v>
      </c>
      <c r="S145" s="3" t="str">
        <f t="shared" si="54"/>
        <v>HW</v>
      </c>
      <c r="T145" s="3" t="str">
        <f t="shared" si="55"/>
        <v>HL</v>
      </c>
      <c r="U145" s="3" t="str">
        <f t="shared" si="56"/>
        <v>O</v>
      </c>
      <c r="V145" s="3" t="str">
        <f t="shared" si="57"/>
        <v>O</v>
      </c>
      <c r="W145" s="3" t="str">
        <f t="shared" si="58"/>
        <v>O</v>
      </c>
      <c r="X145" s="3" t="str">
        <f t="shared" si="59"/>
        <v>U</v>
      </c>
      <c r="Z145" s="3">
        <v>51.5</v>
      </c>
      <c r="AB145" s="3" t="str">
        <f t="shared" si="60"/>
        <v>GS/UTA</v>
      </c>
      <c r="AC145" s="3">
        <f t="shared" si="61"/>
        <v>3</v>
      </c>
      <c r="AD145" s="3">
        <f t="shared" si="62"/>
        <v>1</v>
      </c>
    </row>
    <row r="146" spans="1:30" ht="17.100000000000001" x14ac:dyDescent="0.45">
      <c r="A146" s="3">
        <v>191112</v>
      </c>
      <c r="B146" s="44">
        <v>0.52083333333333337</v>
      </c>
      <c r="C146" s="3" t="s">
        <v>178</v>
      </c>
      <c r="D146" s="3" t="s">
        <v>175</v>
      </c>
      <c r="E146" s="3">
        <v>15</v>
      </c>
      <c r="F146" s="3">
        <v>36</v>
      </c>
      <c r="G146" s="3">
        <v>22</v>
      </c>
      <c r="H146" s="3">
        <v>25</v>
      </c>
      <c r="J146" s="3">
        <v>23</v>
      </c>
      <c r="K146" s="3">
        <v>23</v>
      </c>
      <c r="L146" s="3">
        <v>32</v>
      </c>
      <c r="M146" s="3">
        <v>10</v>
      </c>
      <c r="O146" s="3">
        <f t="shared" si="50"/>
        <v>98</v>
      </c>
      <c r="P146" s="3">
        <f t="shared" si="51"/>
        <v>88</v>
      </c>
      <c r="Q146" s="3" t="str">
        <f t="shared" si="52"/>
        <v>HL</v>
      </c>
      <c r="R146" s="3" t="str">
        <f t="shared" si="53"/>
        <v>HW</v>
      </c>
      <c r="S146" s="3" t="str">
        <f t="shared" si="54"/>
        <v>HL</v>
      </c>
      <c r="T146" s="3" t="str">
        <f t="shared" si="55"/>
        <v>HW</v>
      </c>
      <c r="U146" s="3" t="str">
        <f t="shared" si="56"/>
        <v>U</v>
      </c>
      <c r="V146" s="3" t="str">
        <f t="shared" si="57"/>
        <v>O</v>
      </c>
      <c r="W146" s="3" t="str">
        <f t="shared" si="58"/>
        <v>U</v>
      </c>
      <c r="X146" s="3" t="str">
        <f t="shared" si="59"/>
        <v>U</v>
      </c>
      <c r="Z146" s="3">
        <v>57</v>
      </c>
      <c r="AB146" s="3" t="str">
        <f t="shared" si="60"/>
        <v>LAC/TOR</v>
      </c>
      <c r="AC146" s="3">
        <f t="shared" si="61"/>
        <v>1</v>
      </c>
      <c r="AD146" s="3">
        <f t="shared" si="62"/>
        <v>3</v>
      </c>
    </row>
    <row r="147" spans="1:30" ht="17.100000000000001" x14ac:dyDescent="0.45">
      <c r="A147" s="3">
        <v>191113</v>
      </c>
      <c r="B147" s="44">
        <v>0.375</v>
      </c>
      <c r="C147" s="3" t="s">
        <v>35</v>
      </c>
      <c r="D147" s="3" t="s">
        <v>49</v>
      </c>
      <c r="E147" s="3">
        <v>31</v>
      </c>
      <c r="F147" s="3">
        <v>21</v>
      </c>
      <c r="G147" s="3">
        <v>34</v>
      </c>
      <c r="H147" s="3">
        <v>25</v>
      </c>
      <c r="J147" s="3">
        <v>25</v>
      </c>
      <c r="K147" s="3">
        <v>17</v>
      </c>
      <c r="L147" s="3">
        <v>20</v>
      </c>
      <c r="M147" s="3">
        <v>23</v>
      </c>
      <c r="O147" s="3">
        <f t="shared" si="50"/>
        <v>111</v>
      </c>
      <c r="P147" s="3">
        <f t="shared" si="51"/>
        <v>85</v>
      </c>
      <c r="Q147" s="3" t="str">
        <f t="shared" si="52"/>
        <v>HW</v>
      </c>
      <c r="R147" s="3" t="str">
        <f t="shared" si="53"/>
        <v>HW</v>
      </c>
      <c r="S147" s="3" t="str">
        <f t="shared" si="54"/>
        <v>HW</v>
      </c>
      <c r="T147" s="3" t="str">
        <f t="shared" si="55"/>
        <v>HW</v>
      </c>
      <c r="U147" s="3" t="str">
        <f t="shared" si="56"/>
        <v>O</v>
      </c>
      <c r="V147" s="3" t="str">
        <f t="shared" si="57"/>
        <v>U</v>
      </c>
      <c r="W147" s="3" t="str">
        <f t="shared" si="58"/>
        <v>U</v>
      </c>
      <c r="X147" s="3" t="str">
        <f t="shared" si="59"/>
        <v>U</v>
      </c>
      <c r="Z147" s="3">
        <v>54.5</v>
      </c>
      <c r="AB147" s="3" t="str">
        <f t="shared" ref="AB147:AB161" si="63">C147&amp;"/"&amp;D147</f>
        <v>IND/OKC</v>
      </c>
      <c r="AC147" s="3">
        <f t="shared" ref="AC147:AC161" si="64">COUNTIF(U147:X147,"o")</f>
        <v>1</v>
      </c>
      <c r="AD147" s="3">
        <f t="shared" ref="AD147:AD161" si="65">COUNTIF(U147:X147,"u")</f>
        <v>3</v>
      </c>
    </row>
    <row r="148" spans="1:30" ht="17.100000000000001" x14ac:dyDescent="0.45">
      <c r="A148" s="3">
        <v>191113</v>
      </c>
      <c r="B148" s="44">
        <v>0.375</v>
      </c>
      <c r="C148" s="3" t="s">
        <v>41</v>
      </c>
      <c r="D148" s="3" t="s">
        <v>40</v>
      </c>
      <c r="E148" s="3">
        <v>24</v>
      </c>
      <c r="F148" s="3">
        <v>30</v>
      </c>
      <c r="G148" s="3">
        <v>28</v>
      </c>
      <c r="H148" s="3">
        <v>16</v>
      </c>
      <c r="J148" s="3">
        <v>21</v>
      </c>
      <c r="K148" s="3">
        <v>27</v>
      </c>
      <c r="L148" s="3">
        <v>30</v>
      </c>
      <c r="M148" s="3">
        <v>19</v>
      </c>
      <c r="O148" s="3">
        <f t="shared" si="50"/>
        <v>98</v>
      </c>
      <c r="P148" s="3">
        <f t="shared" si="51"/>
        <v>97</v>
      </c>
      <c r="Q148" s="3" t="str">
        <f t="shared" si="52"/>
        <v>HW</v>
      </c>
      <c r="R148" s="3" t="str">
        <f t="shared" si="53"/>
        <v>HW</v>
      </c>
      <c r="S148" s="3" t="str">
        <f t="shared" si="54"/>
        <v>HL</v>
      </c>
      <c r="T148" s="3" t="str">
        <f t="shared" si="55"/>
        <v>HL</v>
      </c>
      <c r="U148" s="3" t="str">
        <f t="shared" si="56"/>
        <v>U</v>
      </c>
      <c r="V148" s="3" t="str">
        <f t="shared" si="57"/>
        <v>O</v>
      </c>
      <c r="W148" s="3" t="str">
        <f t="shared" si="58"/>
        <v>O</v>
      </c>
      <c r="X148" s="3" t="str">
        <f t="shared" si="59"/>
        <v>U</v>
      </c>
      <c r="Z148" s="3">
        <v>53.5</v>
      </c>
      <c r="AB148" s="3" t="str">
        <f t="shared" si="63"/>
        <v>PHI/CLE</v>
      </c>
      <c r="AC148" s="3">
        <f t="shared" si="64"/>
        <v>2</v>
      </c>
      <c r="AD148" s="3">
        <f t="shared" si="65"/>
        <v>2</v>
      </c>
    </row>
    <row r="149" spans="1:30" ht="17.100000000000001" x14ac:dyDescent="0.45">
      <c r="A149" s="3">
        <v>191113</v>
      </c>
      <c r="B149" s="44">
        <v>0.39583333333333331</v>
      </c>
      <c r="C149" s="3" t="s">
        <v>37</v>
      </c>
      <c r="D149" s="3" t="s">
        <v>36</v>
      </c>
      <c r="E149" s="3">
        <v>28</v>
      </c>
      <c r="F149" s="3">
        <v>31</v>
      </c>
      <c r="G149" s="3">
        <v>33</v>
      </c>
      <c r="H149" s="3">
        <v>25</v>
      </c>
      <c r="J149" s="3">
        <v>17</v>
      </c>
      <c r="K149" s="3">
        <v>20</v>
      </c>
      <c r="L149" s="3">
        <v>35</v>
      </c>
      <c r="M149" s="3">
        <v>36</v>
      </c>
      <c r="O149" s="3">
        <f t="shared" si="50"/>
        <v>117</v>
      </c>
      <c r="P149" s="3">
        <f t="shared" si="51"/>
        <v>108</v>
      </c>
      <c r="Q149" s="3" t="str">
        <f t="shared" si="52"/>
        <v>HW</v>
      </c>
      <c r="R149" s="3" t="str">
        <f t="shared" si="53"/>
        <v>HW</v>
      </c>
      <c r="S149" s="3" t="str">
        <f t="shared" si="54"/>
        <v>HL</v>
      </c>
      <c r="T149" s="3" t="str">
        <f t="shared" si="55"/>
        <v>HL</v>
      </c>
      <c r="U149" s="3" t="str">
        <f t="shared" si="56"/>
        <v>U</v>
      </c>
      <c r="V149" s="3" t="str">
        <f t="shared" si="57"/>
        <v>U</v>
      </c>
      <c r="W149" s="3" t="str">
        <f t="shared" si="58"/>
        <v>O</v>
      </c>
      <c r="X149" s="3" t="str">
        <f t="shared" si="59"/>
        <v>O</v>
      </c>
      <c r="Z149" s="3">
        <v>55</v>
      </c>
      <c r="AB149" s="3" t="str">
        <f t="shared" si="63"/>
        <v>MIA/DET</v>
      </c>
      <c r="AC149" s="3">
        <f t="shared" si="64"/>
        <v>2</v>
      </c>
      <c r="AD149" s="3">
        <f t="shared" si="65"/>
        <v>2</v>
      </c>
    </row>
    <row r="150" spans="1:30" ht="17.100000000000001" x14ac:dyDescent="0.45">
      <c r="A150" s="3">
        <v>191113</v>
      </c>
      <c r="B150" s="44">
        <v>0.41666666666666669</v>
      </c>
      <c r="C150" s="3" t="s">
        <v>32</v>
      </c>
      <c r="D150" s="3" t="s">
        <v>47</v>
      </c>
      <c r="E150" s="3">
        <v>30</v>
      </c>
      <c r="F150" s="3">
        <v>30</v>
      </c>
      <c r="G150" s="3">
        <v>25</v>
      </c>
      <c r="H150" s="3">
        <v>35</v>
      </c>
      <c r="J150" s="3">
        <v>22</v>
      </c>
      <c r="K150" s="3">
        <v>32</v>
      </c>
      <c r="L150" s="3">
        <v>31</v>
      </c>
      <c r="M150" s="3">
        <v>17</v>
      </c>
      <c r="O150" s="3">
        <f t="shared" si="50"/>
        <v>120</v>
      </c>
      <c r="P150" s="3">
        <f t="shared" si="51"/>
        <v>102</v>
      </c>
      <c r="Q150" s="3" t="str">
        <f t="shared" si="52"/>
        <v>HW</v>
      </c>
      <c r="R150" s="3" t="str">
        <f t="shared" si="53"/>
        <v>HL</v>
      </c>
      <c r="S150" s="3" t="str">
        <f t="shared" si="54"/>
        <v>HL</v>
      </c>
      <c r="T150" s="3" t="str">
        <f t="shared" si="55"/>
        <v>HW</v>
      </c>
      <c r="U150" s="3" t="str">
        <f t="shared" si="56"/>
        <v>U</v>
      </c>
      <c r="V150" s="3" t="str">
        <f t="shared" si="57"/>
        <v>O</v>
      </c>
      <c r="W150" s="3" t="str">
        <f t="shared" si="58"/>
        <v>O</v>
      </c>
      <c r="X150" s="3" t="str">
        <f t="shared" si="59"/>
        <v>U</v>
      </c>
      <c r="Z150" s="3">
        <v>54.5</v>
      </c>
      <c r="AB150" s="3" t="str">
        <f t="shared" si="63"/>
        <v>CHI/NYK</v>
      </c>
      <c r="AC150" s="3">
        <f t="shared" si="64"/>
        <v>2</v>
      </c>
      <c r="AD150" s="3">
        <f t="shared" si="65"/>
        <v>2</v>
      </c>
    </row>
    <row r="151" spans="1:30" ht="17.100000000000001" x14ac:dyDescent="0.45">
      <c r="A151" s="3">
        <v>191113</v>
      </c>
      <c r="B151" s="44">
        <v>0.45833333333333331</v>
      </c>
      <c r="C151" s="3" t="s">
        <v>46</v>
      </c>
      <c r="D151" s="3" t="s">
        <v>50</v>
      </c>
      <c r="E151" s="3">
        <v>34</v>
      </c>
      <c r="F151" s="3">
        <v>20</v>
      </c>
      <c r="G151" s="3">
        <v>35</v>
      </c>
      <c r="H151" s="3">
        <v>32</v>
      </c>
      <c r="J151" s="3">
        <v>25</v>
      </c>
      <c r="K151" s="3">
        <v>38</v>
      </c>
      <c r="L151" s="3">
        <v>35</v>
      </c>
      <c r="M151" s="3">
        <v>27</v>
      </c>
      <c r="O151" s="3">
        <f t="shared" si="50"/>
        <v>121</v>
      </c>
      <c r="P151" s="3">
        <f t="shared" si="51"/>
        <v>125</v>
      </c>
      <c r="Q151" s="3" t="str">
        <f t="shared" si="52"/>
        <v>HW</v>
      </c>
      <c r="R151" s="3" t="str">
        <f t="shared" si="53"/>
        <v>HL</v>
      </c>
      <c r="S151" s="3" t="str">
        <f t="shared" si="54"/>
        <v>TT</v>
      </c>
      <c r="T151" s="3" t="str">
        <f t="shared" si="55"/>
        <v>HW</v>
      </c>
      <c r="U151" s="3" t="str">
        <f t="shared" si="56"/>
        <v>O</v>
      </c>
      <c r="V151" s="3" t="str">
        <f t="shared" si="57"/>
        <v>O</v>
      </c>
      <c r="W151" s="3" t="str">
        <f t="shared" si="58"/>
        <v>O</v>
      </c>
      <c r="X151" s="3" t="str">
        <f t="shared" si="59"/>
        <v>O</v>
      </c>
      <c r="Z151" s="3">
        <v>53.5</v>
      </c>
      <c r="AB151" s="3" t="str">
        <f t="shared" si="63"/>
        <v>DEN/ATL</v>
      </c>
      <c r="AC151" s="3">
        <f t="shared" si="64"/>
        <v>4</v>
      </c>
      <c r="AD151" s="3">
        <f t="shared" si="65"/>
        <v>0</v>
      </c>
    </row>
    <row r="152" spans="1:30" ht="17.100000000000001" x14ac:dyDescent="0.45">
      <c r="A152" s="3">
        <v>191113</v>
      </c>
      <c r="B152" s="44">
        <v>0.45833333333333331</v>
      </c>
      <c r="C152" s="3" t="s">
        <v>43</v>
      </c>
      <c r="D152" s="3" t="s">
        <v>26</v>
      </c>
      <c r="E152" s="3">
        <v>29</v>
      </c>
      <c r="F152" s="3">
        <v>29</v>
      </c>
      <c r="G152" s="3">
        <v>34</v>
      </c>
      <c r="H152" s="3">
        <v>23</v>
      </c>
      <c r="J152" s="3">
        <v>26</v>
      </c>
      <c r="K152" s="3">
        <v>34</v>
      </c>
      <c r="L152" s="3">
        <v>35</v>
      </c>
      <c r="M152" s="3">
        <v>28</v>
      </c>
      <c r="O152" s="3">
        <f t="shared" si="50"/>
        <v>115</v>
      </c>
      <c r="P152" s="3">
        <f t="shared" si="51"/>
        <v>123</v>
      </c>
      <c r="Q152" s="3" t="str">
        <f t="shared" si="52"/>
        <v>HW</v>
      </c>
      <c r="R152" s="3" t="str">
        <f t="shared" si="53"/>
        <v>HL</v>
      </c>
      <c r="S152" s="3" t="str">
        <f t="shared" si="54"/>
        <v>HL</v>
      </c>
      <c r="T152" s="3" t="str">
        <f t="shared" si="55"/>
        <v>HL</v>
      </c>
      <c r="U152" s="3" t="str">
        <f t="shared" si="56"/>
        <v>U</v>
      </c>
      <c r="V152" s="3" t="str">
        <f t="shared" si="57"/>
        <v>O</v>
      </c>
      <c r="W152" s="3" t="str">
        <f t="shared" si="58"/>
        <v>O</v>
      </c>
      <c r="X152" s="3" t="str">
        <f t="shared" si="59"/>
        <v>U</v>
      </c>
      <c r="Z152" s="3">
        <v>56.5</v>
      </c>
      <c r="AB152" s="3" t="str">
        <f t="shared" si="63"/>
        <v>PHO/LAL</v>
      </c>
      <c r="AC152" s="3">
        <f t="shared" si="64"/>
        <v>2</v>
      </c>
      <c r="AD152" s="3">
        <f t="shared" si="65"/>
        <v>2</v>
      </c>
    </row>
    <row r="153" spans="1:30" ht="17.100000000000001" x14ac:dyDescent="0.45">
      <c r="A153" s="3">
        <v>191113</v>
      </c>
      <c r="B153" s="44">
        <v>0.45833333333333331</v>
      </c>
      <c r="C153" s="3" t="s">
        <v>48</v>
      </c>
      <c r="D153" s="3" t="s">
        <v>30</v>
      </c>
      <c r="E153" s="3">
        <v>29</v>
      </c>
      <c r="F153" s="3">
        <v>24</v>
      </c>
      <c r="G153" s="3">
        <v>31</v>
      </c>
      <c r="H153" s="3">
        <v>35</v>
      </c>
      <c r="J153" s="3">
        <v>35</v>
      </c>
      <c r="K153" s="3">
        <v>33</v>
      </c>
      <c r="L153" s="3">
        <v>24</v>
      </c>
      <c r="M153" s="3">
        <v>22</v>
      </c>
      <c r="O153" s="3">
        <f t="shared" si="50"/>
        <v>119</v>
      </c>
      <c r="P153" s="3">
        <f t="shared" si="51"/>
        <v>114</v>
      </c>
      <c r="Q153" s="3" t="str">
        <f t="shared" si="52"/>
        <v>HL</v>
      </c>
      <c r="R153" s="3" t="str">
        <f t="shared" si="53"/>
        <v>HL</v>
      </c>
      <c r="S153" s="3" t="str">
        <f t="shared" si="54"/>
        <v>HW</v>
      </c>
      <c r="T153" s="3" t="str">
        <f t="shared" si="55"/>
        <v>HW</v>
      </c>
      <c r="U153" s="3" t="str">
        <f t="shared" si="56"/>
        <v>O</v>
      </c>
      <c r="V153" s="3" t="str">
        <f t="shared" si="57"/>
        <v>O</v>
      </c>
      <c r="W153" s="3" t="str">
        <f t="shared" si="58"/>
        <v>O</v>
      </c>
      <c r="X153" s="3" t="str">
        <f t="shared" si="59"/>
        <v>O</v>
      </c>
      <c r="Z153" s="3">
        <v>53</v>
      </c>
      <c r="AB153" s="3" t="str">
        <f t="shared" si="63"/>
        <v>UTA/BKN</v>
      </c>
      <c r="AC153" s="3">
        <f t="shared" si="64"/>
        <v>4</v>
      </c>
      <c r="AD153" s="3">
        <f t="shared" si="65"/>
        <v>0</v>
      </c>
    </row>
    <row r="154" spans="1:30" ht="17.100000000000001" x14ac:dyDescent="0.45">
      <c r="A154" s="3">
        <v>191113</v>
      </c>
      <c r="B154" s="44">
        <v>0.5</v>
      </c>
      <c r="C154" s="3" t="s">
        <v>44</v>
      </c>
      <c r="D154" s="3" t="s">
        <v>45</v>
      </c>
      <c r="E154" s="3">
        <v>21</v>
      </c>
      <c r="F154" s="3">
        <v>25</v>
      </c>
      <c r="G154" s="3">
        <v>35</v>
      </c>
      <c r="H154" s="3">
        <v>26</v>
      </c>
      <c r="J154" s="3">
        <v>24</v>
      </c>
      <c r="K154" s="3">
        <v>25</v>
      </c>
      <c r="L154" s="3">
        <v>21</v>
      </c>
      <c r="M154" s="3">
        <v>29</v>
      </c>
      <c r="O154" s="3">
        <f t="shared" si="50"/>
        <v>107</v>
      </c>
      <c r="P154" s="3">
        <f t="shared" si="51"/>
        <v>99</v>
      </c>
      <c r="Q154" s="3" t="str">
        <f t="shared" si="52"/>
        <v>HL</v>
      </c>
      <c r="R154" s="3" t="str">
        <f t="shared" si="53"/>
        <v>TT</v>
      </c>
      <c r="S154" s="3" t="str">
        <f t="shared" si="54"/>
        <v>HW</v>
      </c>
      <c r="T154" s="3" t="str">
        <f t="shared" si="55"/>
        <v>HL</v>
      </c>
      <c r="U154" s="3" t="str">
        <f t="shared" si="56"/>
        <v>U</v>
      </c>
      <c r="V154" s="3" t="str">
        <f t="shared" si="57"/>
        <v>U</v>
      </c>
      <c r="W154" s="3" t="str">
        <f t="shared" si="58"/>
        <v>O</v>
      </c>
      <c r="X154" s="3" t="str">
        <f t="shared" si="59"/>
        <v>O</v>
      </c>
      <c r="Z154" s="3">
        <v>54.5</v>
      </c>
      <c r="AB154" s="3" t="str">
        <f t="shared" si="63"/>
        <v>SAC/POR</v>
      </c>
      <c r="AC154" s="3">
        <f t="shared" si="64"/>
        <v>2</v>
      </c>
      <c r="AD154" s="3">
        <f t="shared" si="65"/>
        <v>2</v>
      </c>
    </row>
    <row r="155" spans="1:30" ht="17.100000000000001" x14ac:dyDescent="0.45">
      <c r="A155" s="3">
        <v>191114</v>
      </c>
      <c r="B155" s="44">
        <v>0.375</v>
      </c>
      <c r="C155" s="3" t="s">
        <v>179</v>
      </c>
      <c r="D155" s="3" t="s">
        <v>180</v>
      </c>
      <c r="E155" s="3">
        <v>31</v>
      </c>
      <c r="F155" s="3">
        <v>22</v>
      </c>
      <c r="G155" s="3">
        <v>27</v>
      </c>
      <c r="H155" s="3">
        <v>32</v>
      </c>
      <c r="J155" s="3">
        <v>30</v>
      </c>
      <c r="K155" s="3">
        <v>23</v>
      </c>
      <c r="L155" s="3">
        <v>29</v>
      </c>
      <c r="M155" s="3">
        <v>15</v>
      </c>
      <c r="O155" s="3">
        <f t="shared" si="50"/>
        <v>112</v>
      </c>
      <c r="P155" s="3">
        <f t="shared" si="51"/>
        <v>97</v>
      </c>
      <c r="Q155" s="3" t="str">
        <f t="shared" si="52"/>
        <v>HW</v>
      </c>
      <c r="R155" s="3" t="str">
        <f t="shared" si="53"/>
        <v>HL</v>
      </c>
      <c r="S155" s="3" t="str">
        <f t="shared" si="54"/>
        <v>HL</v>
      </c>
      <c r="T155" s="3" t="str">
        <f t="shared" si="55"/>
        <v>HW</v>
      </c>
      <c r="U155" s="3" t="str">
        <f t="shared" si="56"/>
        <v>O</v>
      </c>
      <c r="V155" s="3" t="str">
        <f t="shared" si="57"/>
        <v>U</v>
      </c>
      <c r="W155" s="3" t="str">
        <f t="shared" si="58"/>
        <v>O</v>
      </c>
      <c r="X155" s="3" t="str">
        <f t="shared" si="59"/>
        <v>U</v>
      </c>
      <c r="Z155" s="3">
        <v>50.5</v>
      </c>
      <c r="AB155" s="3" t="str">
        <f t="shared" si="63"/>
        <v>ORL/PHI</v>
      </c>
      <c r="AC155" s="3">
        <f t="shared" si="64"/>
        <v>2</v>
      </c>
      <c r="AD155" s="3">
        <f t="shared" si="65"/>
        <v>2</v>
      </c>
    </row>
    <row r="156" spans="1:30" ht="17.100000000000001" x14ac:dyDescent="0.45">
      <c r="A156" s="3">
        <v>191114</v>
      </c>
      <c r="B156" s="44">
        <v>0.375</v>
      </c>
      <c r="C156" s="3" t="s">
        <v>181</v>
      </c>
      <c r="D156" s="3" t="s">
        <v>182</v>
      </c>
      <c r="E156" s="3">
        <v>29</v>
      </c>
      <c r="F156" s="3">
        <v>35</v>
      </c>
      <c r="G156" s="3">
        <v>32</v>
      </c>
      <c r="H156" s="3">
        <v>21</v>
      </c>
      <c r="J156" s="3">
        <v>26</v>
      </c>
      <c r="K156" s="3">
        <v>37</v>
      </c>
      <c r="L156" s="3">
        <v>31</v>
      </c>
      <c r="M156" s="3">
        <v>25</v>
      </c>
      <c r="O156" s="3">
        <f t="shared" si="50"/>
        <v>117</v>
      </c>
      <c r="P156" s="3">
        <f t="shared" si="51"/>
        <v>119</v>
      </c>
      <c r="Q156" s="3" t="str">
        <f t="shared" si="52"/>
        <v>HW</v>
      </c>
      <c r="R156" s="3" t="str">
        <f t="shared" si="53"/>
        <v>HL</v>
      </c>
      <c r="S156" s="3" t="str">
        <f t="shared" si="54"/>
        <v>HW</v>
      </c>
      <c r="T156" s="3" t="str">
        <f t="shared" si="55"/>
        <v>HL</v>
      </c>
      <c r="U156" s="3" t="str">
        <f t="shared" si="56"/>
        <v>O</v>
      </c>
      <c r="V156" s="3" t="str">
        <f t="shared" si="57"/>
        <v>O</v>
      </c>
      <c r="W156" s="3" t="str">
        <f t="shared" si="58"/>
        <v>O</v>
      </c>
      <c r="X156" s="3" t="str">
        <f t="shared" si="59"/>
        <v>U</v>
      </c>
      <c r="Z156" s="3">
        <v>54.5</v>
      </c>
      <c r="AB156" s="3" t="str">
        <f t="shared" si="63"/>
        <v>CHA/MEM</v>
      </c>
      <c r="AC156" s="3">
        <f t="shared" si="64"/>
        <v>3</v>
      </c>
      <c r="AD156" s="3">
        <f t="shared" si="65"/>
        <v>1</v>
      </c>
    </row>
    <row r="157" spans="1:30" ht="17.100000000000001" x14ac:dyDescent="0.45">
      <c r="A157" s="3">
        <v>191114</v>
      </c>
      <c r="B157" s="44">
        <v>0.39583333333333331</v>
      </c>
      <c r="C157" s="3" t="s">
        <v>183</v>
      </c>
      <c r="D157" s="3" t="s">
        <v>184</v>
      </c>
      <c r="E157" s="3">
        <v>34</v>
      </c>
      <c r="F157" s="3">
        <v>34</v>
      </c>
      <c r="G157" s="3">
        <v>34</v>
      </c>
      <c r="H157" s="3">
        <v>38</v>
      </c>
      <c r="J157" s="3">
        <v>34</v>
      </c>
      <c r="K157" s="3">
        <v>32</v>
      </c>
      <c r="L157" s="3">
        <v>30</v>
      </c>
      <c r="M157" s="3">
        <v>37</v>
      </c>
      <c r="O157" s="3">
        <f t="shared" si="50"/>
        <v>140</v>
      </c>
      <c r="P157" s="3">
        <f t="shared" si="51"/>
        <v>133</v>
      </c>
      <c r="Q157" s="3" t="str">
        <f t="shared" si="52"/>
        <v>TT</v>
      </c>
      <c r="R157" s="3" t="str">
        <f t="shared" si="53"/>
        <v>HW</v>
      </c>
      <c r="S157" s="3" t="str">
        <f t="shared" si="54"/>
        <v>HW</v>
      </c>
      <c r="T157" s="3" t="str">
        <f t="shared" si="55"/>
        <v>HW</v>
      </c>
      <c r="U157" s="3" t="str">
        <f t="shared" si="56"/>
        <v>O</v>
      </c>
      <c r="V157" s="3" t="str">
        <f t="shared" si="57"/>
        <v>O</v>
      </c>
      <c r="W157" s="3" t="str">
        <f t="shared" si="58"/>
        <v>O</v>
      </c>
      <c r="X157" s="3" t="str">
        <f t="shared" si="59"/>
        <v>O</v>
      </c>
      <c r="Z157" s="3">
        <v>58.5</v>
      </c>
      <c r="AB157" s="3" t="str">
        <f t="shared" si="63"/>
        <v>BOS/WAS</v>
      </c>
      <c r="AC157" s="3">
        <f t="shared" si="64"/>
        <v>4</v>
      </c>
      <c r="AD157" s="3">
        <f t="shared" si="65"/>
        <v>0</v>
      </c>
    </row>
    <row r="158" spans="1:30" ht="17.100000000000001" x14ac:dyDescent="0.45">
      <c r="A158" s="3">
        <v>191114</v>
      </c>
      <c r="B158" s="44">
        <v>0.39583333333333331</v>
      </c>
      <c r="C158" s="3" t="s">
        <v>185</v>
      </c>
      <c r="D158" s="3" t="s">
        <v>186</v>
      </c>
      <c r="E158" s="3">
        <v>31</v>
      </c>
      <c r="F158" s="3">
        <v>18</v>
      </c>
      <c r="G158" s="3">
        <v>25</v>
      </c>
      <c r="H158" s="3">
        <v>28</v>
      </c>
      <c r="J158" s="3">
        <v>15</v>
      </c>
      <c r="K158" s="3">
        <v>22</v>
      </c>
      <c r="L158" s="3">
        <v>31</v>
      </c>
      <c r="M158" s="3">
        <v>25</v>
      </c>
      <c r="O158" s="3">
        <f t="shared" si="50"/>
        <v>102</v>
      </c>
      <c r="P158" s="3">
        <f t="shared" si="51"/>
        <v>93</v>
      </c>
      <c r="Q158" s="3" t="str">
        <f t="shared" si="52"/>
        <v>HW</v>
      </c>
      <c r="R158" s="3" t="str">
        <f t="shared" si="53"/>
        <v>HL</v>
      </c>
      <c r="S158" s="3" t="str">
        <f t="shared" si="54"/>
        <v>HL</v>
      </c>
      <c r="T158" s="3" t="str">
        <f t="shared" si="55"/>
        <v>HW</v>
      </c>
      <c r="U158" s="3" t="str">
        <f t="shared" si="56"/>
        <v>U</v>
      </c>
      <c r="V158" s="3" t="str">
        <f t="shared" si="57"/>
        <v>U</v>
      </c>
      <c r="W158" s="3" t="str">
        <f t="shared" si="58"/>
        <v>U</v>
      </c>
      <c r="X158" s="3" t="str">
        <f t="shared" si="59"/>
        <v>U</v>
      </c>
      <c r="Z158" s="3">
        <v>60</v>
      </c>
      <c r="AB158" s="3" t="str">
        <f t="shared" si="63"/>
        <v>HOU/LAC</v>
      </c>
      <c r="AC158" s="3">
        <f t="shared" si="64"/>
        <v>0</v>
      </c>
      <c r="AD158" s="3">
        <f t="shared" si="65"/>
        <v>4</v>
      </c>
    </row>
    <row r="159" spans="1:30" ht="17.100000000000001" x14ac:dyDescent="0.45">
      <c r="A159" s="3">
        <v>191114</v>
      </c>
      <c r="B159" s="44">
        <v>0.41666666666666669</v>
      </c>
      <c r="C159" s="3" t="s">
        <v>187</v>
      </c>
      <c r="D159" s="3" t="s">
        <v>188</v>
      </c>
      <c r="E159" s="3">
        <v>26</v>
      </c>
      <c r="F159" s="3">
        <v>40</v>
      </c>
      <c r="G159" s="3">
        <v>40</v>
      </c>
      <c r="H159" s="3">
        <v>23</v>
      </c>
      <c r="J159" s="3">
        <v>24</v>
      </c>
      <c r="K159" s="3">
        <v>35</v>
      </c>
      <c r="L159" s="3">
        <v>36</v>
      </c>
      <c r="M159" s="3">
        <v>19</v>
      </c>
      <c r="O159" s="3">
        <f t="shared" si="50"/>
        <v>129</v>
      </c>
      <c r="P159" s="3">
        <f t="shared" si="51"/>
        <v>114</v>
      </c>
      <c r="Q159" s="3" t="str">
        <f t="shared" si="52"/>
        <v>HW</v>
      </c>
      <c r="R159" s="3" t="str">
        <f t="shared" si="53"/>
        <v>HW</v>
      </c>
      <c r="S159" s="3" t="str">
        <f t="shared" si="54"/>
        <v>HW</v>
      </c>
      <c r="T159" s="3" t="str">
        <f t="shared" si="55"/>
        <v>HW</v>
      </c>
      <c r="U159" s="3" t="str">
        <f t="shared" si="56"/>
        <v>U</v>
      </c>
      <c r="V159" s="3" t="str">
        <f t="shared" si="57"/>
        <v>O</v>
      </c>
      <c r="W159" s="3" t="str">
        <f t="shared" si="58"/>
        <v>O</v>
      </c>
      <c r="X159" s="3" t="str">
        <f t="shared" si="59"/>
        <v>U</v>
      </c>
      <c r="Z159" s="3">
        <v>55.5</v>
      </c>
      <c r="AB159" s="3" t="str">
        <f t="shared" si="63"/>
        <v>MIN/SAS</v>
      </c>
      <c r="AC159" s="3">
        <f t="shared" si="64"/>
        <v>2</v>
      </c>
      <c r="AD159" s="3">
        <f t="shared" si="65"/>
        <v>2</v>
      </c>
    </row>
    <row r="160" spans="1:30" ht="17.100000000000001" x14ac:dyDescent="0.45">
      <c r="A160" s="3">
        <v>191114</v>
      </c>
      <c r="B160" s="44">
        <v>0.5</v>
      </c>
      <c r="C160" s="3" t="s">
        <v>189</v>
      </c>
      <c r="D160" s="3" t="s">
        <v>190</v>
      </c>
      <c r="E160" s="3">
        <v>38</v>
      </c>
      <c r="F160" s="3">
        <v>29</v>
      </c>
      <c r="G160" s="3">
        <v>31</v>
      </c>
      <c r="H160" s="3">
        <v>22</v>
      </c>
      <c r="J160" s="3">
        <v>26</v>
      </c>
      <c r="K160" s="3">
        <v>29</v>
      </c>
      <c r="L160" s="3">
        <v>27</v>
      </c>
      <c r="M160" s="3">
        <v>12</v>
      </c>
      <c r="O160" s="3">
        <f t="shared" si="50"/>
        <v>120</v>
      </c>
      <c r="P160" s="3">
        <f t="shared" si="51"/>
        <v>94</v>
      </c>
      <c r="Q160" s="3" t="str">
        <f t="shared" si="52"/>
        <v>HW</v>
      </c>
      <c r="R160" s="3" t="str">
        <f t="shared" si="53"/>
        <v>TT</v>
      </c>
      <c r="S160" s="3" t="str">
        <f t="shared" si="54"/>
        <v>HW</v>
      </c>
      <c r="T160" s="3" t="str">
        <f t="shared" si="55"/>
        <v>HW</v>
      </c>
      <c r="U160" s="3" t="str">
        <f t="shared" si="56"/>
        <v>O</v>
      </c>
      <c r="V160" s="3" t="str">
        <f t="shared" si="57"/>
        <v>O</v>
      </c>
      <c r="W160" s="3" t="str">
        <f t="shared" si="58"/>
        <v>O</v>
      </c>
      <c r="X160" s="3" t="str">
        <f t="shared" si="59"/>
        <v>U</v>
      </c>
      <c r="Z160" s="3">
        <v>56</v>
      </c>
      <c r="AB160" s="3" t="str">
        <f t="shared" si="63"/>
        <v>LAL/GS</v>
      </c>
      <c r="AC160" s="3">
        <f t="shared" si="64"/>
        <v>3</v>
      </c>
      <c r="AD160" s="3">
        <f t="shared" si="65"/>
        <v>1</v>
      </c>
    </row>
    <row r="161" spans="1:30" ht="17.100000000000001" x14ac:dyDescent="0.45">
      <c r="A161" s="3">
        <v>191114</v>
      </c>
      <c r="B161" s="44">
        <v>0.5</v>
      </c>
      <c r="C161" s="3" t="s">
        <v>191</v>
      </c>
      <c r="D161" s="3" t="s">
        <v>192</v>
      </c>
      <c r="E161" s="3">
        <v>30</v>
      </c>
      <c r="F161" s="3">
        <v>23</v>
      </c>
      <c r="G161" s="3">
        <v>25</v>
      </c>
      <c r="H161" s="3">
        <v>28</v>
      </c>
      <c r="J161" s="3">
        <v>23</v>
      </c>
      <c r="K161" s="3">
        <v>31</v>
      </c>
      <c r="L161" s="3">
        <v>33</v>
      </c>
      <c r="M161" s="3">
        <v>27</v>
      </c>
      <c r="O161" s="3">
        <f t="shared" si="50"/>
        <v>106</v>
      </c>
      <c r="P161" s="3">
        <f t="shared" si="51"/>
        <v>114</v>
      </c>
      <c r="Q161" s="3" t="str">
        <f t="shared" si="52"/>
        <v>HW</v>
      </c>
      <c r="R161" s="3" t="str">
        <f t="shared" si="53"/>
        <v>HL</v>
      </c>
      <c r="S161" s="3" t="str">
        <f t="shared" si="54"/>
        <v>HL</v>
      </c>
      <c r="T161" s="3" t="str">
        <f t="shared" si="55"/>
        <v>HW</v>
      </c>
      <c r="U161" s="3" t="str">
        <f t="shared" si="56"/>
        <v>U</v>
      </c>
      <c r="V161" s="3" t="str">
        <f t="shared" si="57"/>
        <v>U</v>
      </c>
      <c r="W161" s="3" t="str">
        <f t="shared" si="58"/>
        <v>O</v>
      </c>
      <c r="X161" s="3" t="str">
        <f t="shared" si="59"/>
        <v>U</v>
      </c>
      <c r="Z161" s="3">
        <v>56.5</v>
      </c>
      <c r="AB161" s="3" t="str">
        <f t="shared" si="63"/>
        <v>POR/TOR</v>
      </c>
      <c r="AC161" s="3">
        <f t="shared" si="64"/>
        <v>1</v>
      </c>
      <c r="AD161" s="3">
        <f t="shared" si="65"/>
        <v>3</v>
      </c>
    </row>
    <row r="162" spans="1:30" ht="17.100000000000001" x14ac:dyDescent="0.45">
      <c r="A162" s="12">
        <v>191115</v>
      </c>
      <c r="B162" s="44">
        <v>0.33333333333333331</v>
      </c>
      <c r="C162" s="12" t="s">
        <v>193</v>
      </c>
      <c r="D162" s="12" t="s">
        <v>194</v>
      </c>
      <c r="E162" s="12">
        <v>22</v>
      </c>
      <c r="F162" s="12">
        <v>22</v>
      </c>
      <c r="G162" s="12">
        <v>30</v>
      </c>
      <c r="H162" s="12">
        <v>23</v>
      </c>
      <c r="I162" s="12"/>
      <c r="J162" s="12">
        <v>34</v>
      </c>
      <c r="K162" s="12">
        <v>34</v>
      </c>
      <c r="L162" s="12">
        <v>26</v>
      </c>
      <c r="M162" s="12">
        <v>14</v>
      </c>
      <c r="N162" s="12"/>
      <c r="O162" s="12">
        <f t="shared" ref="O162:O175" si="66">SUM(E162:I162)</f>
        <v>97</v>
      </c>
      <c r="P162" s="12">
        <f t="shared" ref="P162:P175" si="67">SUM(J162:N162)</f>
        <v>108</v>
      </c>
      <c r="Q162" s="12" t="str">
        <f t="shared" ref="Q162:Q175" si="68">IF(E162=J162,"TT",IF(E162&gt;J162,"HW","HL"))</f>
        <v>HL</v>
      </c>
      <c r="R162" s="12" t="str">
        <f t="shared" ref="R162:R175" si="69">IF(F162=K162,"TT",IF(F162&gt;K162,"HW","HL"))</f>
        <v>HL</v>
      </c>
      <c r="S162" s="12" t="str">
        <f t="shared" ref="S162:S175" si="70">IF(G162=L162,"TT",IF(G162&gt;L162,"HW","HL"))</f>
        <v>HW</v>
      </c>
      <c r="T162" s="12" t="str">
        <f t="shared" ref="T162:T175" si="71">IF(H162=M162,"TT",IF(H162&gt;M162,"HW","HL"))</f>
        <v>HW</v>
      </c>
      <c r="U162" s="12" t="str">
        <f t="shared" ref="U162:U175" si="72">IF(SUM(E162,J162)=$Z162,"T",IF(SUM(E162,J162)&gt;$Z162,"O","U"))</f>
        <v>O</v>
      </c>
      <c r="V162" s="12" t="str">
        <f t="shared" ref="V162:V175" si="73">IF(SUM(F162,K162)=$Z162,"T",IF(SUM(F162,K162)&gt;$Z162,"O","U"))</f>
        <v>O</v>
      </c>
      <c r="W162" s="12" t="str">
        <f t="shared" ref="W162:W175" si="74">IF(SUM(G162,L162)=$Z162,"T",IF(SUM(G162,L162)&gt;$Z162,"O","U"))</f>
        <v>O</v>
      </c>
      <c r="X162" s="12" t="str">
        <f t="shared" ref="X162:X175" si="75">IF(SUM(H162,M162)=$Z162,"T",IF(SUM(H162,M162)&gt;$Z162,"O","U"))</f>
        <v>U</v>
      </c>
      <c r="Y162" s="12"/>
      <c r="Z162" s="12">
        <v>55.5</v>
      </c>
      <c r="AA162" s="12"/>
      <c r="AB162" s="12" t="str">
        <f t="shared" ref="AB162:AB175" si="76">C162&amp;"/"&amp;D162</f>
        <v>CLE/MIA</v>
      </c>
      <c r="AC162" s="12">
        <f t="shared" ref="AC162:AC175" si="77">COUNTIF(U162:X162,"o")</f>
        <v>3</v>
      </c>
      <c r="AD162" s="12">
        <f t="shared" ref="AD162:AD175" si="78">COUNTIF(U162:X162,"u")</f>
        <v>1</v>
      </c>
    </row>
    <row r="163" spans="1:30" ht="17.100000000000001" x14ac:dyDescent="0.45">
      <c r="A163" s="12">
        <v>191115</v>
      </c>
      <c r="B163" s="44">
        <v>0.41666666666666669</v>
      </c>
      <c r="C163" s="12" t="s">
        <v>27</v>
      </c>
      <c r="D163" s="12" t="s">
        <v>25</v>
      </c>
      <c r="E163" s="12">
        <v>34</v>
      </c>
      <c r="F163" s="12">
        <v>38</v>
      </c>
      <c r="G163" s="12">
        <v>24</v>
      </c>
      <c r="H163" s="12">
        <v>36</v>
      </c>
      <c r="I163" s="12"/>
      <c r="J163" s="12">
        <v>35</v>
      </c>
      <c r="K163" s="12">
        <v>24</v>
      </c>
      <c r="L163" s="12">
        <v>38</v>
      </c>
      <c r="M163" s="12">
        <v>30</v>
      </c>
      <c r="N163" s="12"/>
      <c r="O163" s="12">
        <f t="shared" si="66"/>
        <v>132</v>
      </c>
      <c r="P163" s="12">
        <f t="shared" si="67"/>
        <v>127</v>
      </c>
      <c r="Q163" s="12" t="str">
        <f t="shared" si="68"/>
        <v>HL</v>
      </c>
      <c r="R163" s="12" t="str">
        <f t="shared" si="69"/>
        <v>HW</v>
      </c>
      <c r="S163" s="12" t="str">
        <f t="shared" si="70"/>
        <v>HL</v>
      </c>
      <c r="T163" s="12" t="str">
        <f t="shared" si="71"/>
        <v>HW</v>
      </c>
      <c r="U163" s="12" t="str">
        <f t="shared" si="72"/>
        <v>O</v>
      </c>
      <c r="V163" s="12" t="str">
        <f t="shared" si="73"/>
        <v>O</v>
      </c>
      <c r="W163" s="12" t="str">
        <f t="shared" si="74"/>
        <v>O</v>
      </c>
      <c r="X163" s="12" t="str">
        <f t="shared" si="75"/>
        <v>O</v>
      </c>
      <c r="Y163" s="12"/>
      <c r="Z163" s="12">
        <v>60</v>
      </c>
      <c r="AA163" s="12"/>
      <c r="AB163" s="12" t="str">
        <f t="shared" si="76"/>
        <v>NO/LAC</v>
      </c>
      <c r="AC163" s="12">
        <f t="shared" si="77"/>
        <v>4</v>
      </c>
      <c r="AD163" s="12">
        <f t="shared" si="78"/>
        <v>0</v>
      </c>
    </row>
    <row r="164" spans="1:30" ht="17.100000000000001" x14ac:dyDescent="0.45">
      <c r="A164" s="12">
        <v>191115</v>
      </c>
      <c r="B164" s="44">
        <v>0.41666666666666669</v>
      </c>
      <c r="C164" s="12" t="s">
        <v>53</v>
      </c>
      <c r="D164" s="12" t="s">
        <v>195</v>
      </c>
      <c r="E164" s="12">
        <v>30</v>
      </c>
      <c r="F164" s="12">
        <v>35</v>
      </c>
      <c r="G164" s="12">
        <v>32</v>
      </c>
      <c r="H164" s="12">
        <v>27</v>
      </c>
      <c r="I164" s="12"/>
      <c r="J164" s="12">
        <v>32</v>
      </c>
      <c r="K164" s="12">
        <v>34</v>
      </c>
      <c r="L164" s="12">
        <v>20</v>
      </c>
      <c r="M164" s="12">
        <v>29</v>
      </c>
      <c r="N164" s="12"/>
      <c r="O164" s="12">
        <f t="shared" si="66"/>
        <v>124</v>
      </c>
      <c r="P164" s="12">
        <f t="shared" si="67"/>
        <v>115</v>
      </c>
      <c r="Q164" s="12" t="str">
        <f t="shared" si="68"/>
        <v>HL</v>
      </c>
      <c r="R164" s="12" t="str">
        <f t="shared" si="69"/>
        <v>HW</v>
      </c>
      <c r="S164" s="12" t="str">
        <f t="shared" si="70"/>
        <v>HW</v>
      </c>
      <c r="T164" s="12" t="str">
        <f t="shared" si="71"/>
        <v>HL</v>
      </c>
      <c r="U164" s="12" t="str">
        <f t="shared" si="72"/>
        <v>O</v>
      </c>
      <c r="V164" s="12" t="str">
        <f t="shared" si="73"/>
        <v>O</v>
      </c>
      <c r="W164" s="12" t="str">
        <f t="shared" si="74"/>
        <v>U</v>
      </c>
      <c r="X164" s="12" t="str">
        <f t="shared" si="75"/>
        <v>T</v>
      </c>
      <c r="Y164" s="12"/>
      <c r="Z164" s="12">
        <v>56</v>
      </c>
      <c r="AA164" s="12"/>
      <c r="AB164" s="12" t="str">
        <f t="shared" si="76"/>
        <v>MIL/CHI</v>
      </c>
      <c r="AC164" s="12">
        <f t="shared" si="77"/>
        <v>2</v>
      </c>
      <c r="AD164" s="12">
        <f t="shared" si="78"/>
        <v>1</v>
      </c>
    </row>
    <row r="165" spans="1:30" ht="17.100000000000001" x14ac:dyDescent="0.45">
      <c r="A165" s="12">
        <v>191115</v>
      </c>
      <c r="B165" s="44">
        <v>0.41666666666666669</v>
      </c>
      <c r="C165" s="12" t="s">
        <v>47</v>
      </c>
      <c r="D165" s="12" t="s">
        <v>33</v>
      </c>
      <c r="E165" s="12">
        <v>27</v>
      </c>
      <c r="F165" s="12">
        <v>31</v>
      </c>
      <c r="G165" s="12">
        <v>29</v>
      </c>
      <c r="H165" s="12">
        <v>19</v>
      </c>
      <c r="I165" s="12"/>
      <c r="J165" s="12">
        <v>23</v>
      </c>
      <c r="K165" s="12">
        <v>30</v>
      </c>
      <c r="L165" s="12">
        <v>34</v>
      </c>
      <c r="M165" s="12">
        <v>16</v>
      </c>
      <c r="N165" s="12"/>
      <c r="O165" s="12">
        <f t="shared" si="66"/>
        <v>106</v>
      </c>
      <c r="P165" s="12">
        <f t="shared" si="67"/>
        <v>103</v>
      </c>
      <c r="Q165" s="12" t="str">
        <f t="shared" si="68"/>
        <v>HW</v>
      </c>
      <c r="R165" s="12" t="str">
        <f t="shared" si="69"/>
        <v>HW</v>
      </c>
      <c r="S165" s="12" t="str">
        <f t="shared" si="70"/>
        <v>HL</v>
      </c>
      <c r="T165" s="12" t="str">
        <f t="shared" si="71"/>
        <v>HW</v>
      </c>
      <c r="U165" s="12" t="str">
        <f t="shared" si="72"/>
        <v>U</v>
      </c>
      <c r="V165" s="12" t="str">
        <f t="shared" si="73"/>
        <v>O</v>
      </c>
      <c r="W165" s="12" t="str">
        <f t="shared" si="74"/>
        <v>O</v>
      </c>
      <c r="X165" s="12" t="str">
        <f t="shared" si="75"/>
        <v>U</v>
      </c>
      <c r="Y165" s="12"/>
      <c r="Z165" s="12">
        <v>55.5</v>
      </c>
      <c r="AA165" s="12"/>
      <c r="AB165" s="12" t="str">
        <f t="shared" si="76"/>
        <v>NYK/DAL</v>
      </c>
      <c r="AC165" s="12">
        <f t="shared" si="77"/>
        <v>2</v>
      </c>
      <c r="AD165" s="12">
        <f t="shared" si="78"/>
        <v>2</v>
      </c>
    </row>
    <row r="166" spans="1:30" ht="17.100000000000001" x14ac:dyDescent="0.45">
      <c r="A166" s="12">
        <v>191115</v>
      </c>
      <c r="B166" s="44">
        <v>0.45833333333333331</v>
      </c>
      <c r="C166" s="12" t="s">
        <v>196</v>
      </c>
      <c r="D166" s="12" t="s">
        <v>50</v>
      </c>
      <c r="E166" s="12">
        <v>31</v>
      </c>
      <c r="F166" s="12">
        <v>36</v>
      </c>
      <c r="G166" s="12">
        <v>37</v>
      </c>
      <c r="H166" s="12">
        <v>24</v>
      </c>
      <c r="I166" s="12"/>
      <c r="J166" s="12">
        <v>33</v>
      </c>
      <c r="K166" s="12">
        <v>28</v>
      </c>
      <c r="L166" s="12">
        <v>29</v>
      </c>
      <c r="M166" s="12">
        <v>22</v>
      </c>
      <c r="N166" s="12"/>
      <c r="O166" s="12">
        <f t="shared" si="66"/>
        <v>128</v>
      </c>
      <c r="P166" s="12">
        <f t="shared" si="67"/>
        <v>112</v>
      </c>
      <c r="Q166" s="12" t="str">
        <f t="shared" si="68"/>
        <v>HL</v>
      </c>
      <c r="R166" s="12" t="str">
        <f t="shared" si="69"/>
        <v>HW</v>
      </c>
      <c r="S166" s="12" t="str">
        <f t="shared" si="70"/>
        <v>HW</v>
      </c>
      <c r="T166" s="12" t="str">
        <f t="shared" si="71"/>
        <v>HW</v>
      </c>
      <c r="U166" s="12" t="str">
        <f t="shared" si="72"/>
        <v>O</v>
      </c>
      <c r="V166" s="12" t="str">
        <f t="shared" si="73"/>
        <v>O</v>
      </c>
      <c r="W166" s="12" t="str">
        <f t="shared" si="74"/>
        <v>O</v>
      </c>
      <c r="X166" s="12" t="str">
        <f t="shared" si="75"/>
        <v>U</v>
      </c>
      <c r="Y166" s="12"/>
      <c r="Z166" s="12">
        <v>59</v>
      </c>
      <c r="AA166" s="12"/>
      <c r="AB166" s="12" t="str">
        <f t="shared" si="76"/>
        <v>PHO/ATL</v>
      </c>
      <c r="AC166" s="12">
        <f t="shared" si="77"/>
        <v>3</v>
      </c>
      <c r="AD166" s="12">
        <f t="shared" si="78"/>
        <v>1</v>
      </c>
    </row>
    <row r="167" spans="1:30" ht="17.100000000000001" x14ac:dyDescent="0.45">
      <c r="A167" s="12">
        <v>191115</v>
      </c>
      <c r="B167" s="44">
        <v>0.52083333333333337</v>
      </c>
      <c r="C167" s="12" t="s">
        <v>46</v>
      </c>
      <c r="D167" s="12" t="s">
        <v>30</v>
      </c>
      <c r="E167" s="12">
        <v>28</v>
      </c>
      <c r="F167" s="12">
        <v>21</v>
      </c>
      <c r="G167" s="12">
        <v>30</v>
      </c>
      <c r="H167" s="12">
        <v>22</v>
      </c>
      <c r="I167" s="12"/>
      <c r="J167" s="12">
        <v>35</v>
      </c>
      <c r="K167" s="12">
        <v>26</v>
      </c>
      <c r="L167" s="12">
        <v>18</v>
      </c>
      <c r="M167" s="12">
        <v>14</v>
      </c>
      <c r="N167" s="12"/>
      <c r="O167" s="12">
        <f t="shared" si="66"/>
        <v>101</v>
      </c>
      <c r="P167" s="12">
        <f t="shared" si="67"/>
        <v>93</v>
      </c>
      <c r="Q167" s="12" t="str">
        <f t="shared" si="68"/>
        <v>HL</v>
      </c>
      <c r="R167" s="12" t="str">
        <f t="shared" si="69"/>
        <v>HL</v>
      </c>
      <c r="S167" s="12" t="str">
        <f t="shared" si="70"/>
        <v>HW</v>
      </c>
      <c r="T167" s="12" t="str">
        <f t="shared" si="71"/>
        <v>HW</v>
      </c>
      <c r="U167" s="12" t="str">
        <f t="shared" si="72"/>
        <v>O</v>
      </c>
      <c r="V167" s="12" t="str">
        <f t="shared" si="73"/>
        <v>U</v>
      </c>
      <c r="W167" s="12" t="str">
        <f t="shared" si="74"/>
        <v>U</v>
      </c>
      <c r="X167" s="12" t="str">
        <f t="shared" si="75"/>
        <v>U</v>
      </c>
      <c r="Y167" s="12"/>
      <c r="Z167" s="12">
        <v>54.5</v>
      </c>
      <c r="AA167" s="12"/>
      <c r="AB167" s="12" t="str">
        <f t="shared" si="76"/>
        <v>DEN/BKN</v>
      </c>
      <c r="AC167" s="12">
        <f t="shared" si="77"/>
        <v>1</v>
      </c>
      <c r="AD167" s="12">
        <f t="shared" si="78"/>
        <v>3</v>
      </c>
    </row>
    <row r="168" spans="1:30" ht="17.100000000000001" x14ac:dyDescent="0.45">
      <c r="A168" s="12">
        <v>191116</v>
      </c>
      <c r="B168" s="44">
        <v>0.375</v>
      </c>
      <c r="C168" s="12" t="s">
        <v>197</v>
      </c>
      <c r="D168" s="12" t="s">
        <v>198</v>
      </c>
      <c r="E168" s="12">
        <v>24</v>
      </c>
      <c r="F168" s="12">
        <v>23</v>
      </c>
      <c r="G168" s="12">
        <v>32</v>
      </c>
      <c r="H168" s="12">
        <v>32</v>
      </c>
      <c r="I168" s="12"/>
      <c r="J168" s="12">
        <v>31</v>
      </c>
      <c r="K168" s="12">
        <v>25</v>
      </c>
      <c r="L168" s="12">
        <v>26</v>
      </c>
      <c r="M168" s="12">
        <v>27</v>
      </c>
      <c r="N168" s="12"/>
      <c r="O168" s="12">
        <f t="shared" si="66"/>
        <v>111</v>
      </c>
      <c r="P168" s="12">
        <f t="shared" si="67"/>
        <v>109</v>
      </c>
      <c r="Q168" s="12" t="str">
        <f t="shared" si="68"/>
        <v>HL</v>
      </c>
      <c r="R168" s="12" t="str">
        <f t="shared" si="69"/>
        <v>HL</v>
      </c>
      <c r="S168" s="12" t="str">
        <f t="shared" si="70"/>
        <v>HW</v>
      </c>
      <c r="T168" s="12" t="str">
        <f t="shared" si="71"/>
        <v>HW</v>
      </c>
      <c r="U168" s="12" t="str">
        <f t="shared" si="72"/>
        <v>O</v>
      </c>
      <c r="V168" s="12" t="str">
        <f t="shared" si="73"/>
        <v>U</v>
      </c>
      <c r="W168" s="12" t="str">
        <f t="shared" si="74"/>
        <v>O</v>
      </c>
      <c r="X168" s="12" t="str">
        <f t="shared" si="75"/>
        <v>O</v>
      </c>
      <c r="Y168" s="12"/>
      <c r="Z168" s="12">
        <v>52</v>
      </c>
      <c r="AA168" s="12"/>
      <c r="AB168" s="12" t="str">
        <f t="shared" si="76"/>
        <v>ORL/SAS</v>
      </c>
      <c r="AC168" s="12">
        <f t="shared" si="77"/>
        <v>3</v>
      </c>
      <c r="AD168" s="12">
        <f t="shared" si="78"/>
        <v>1</v>
      </c>
    </row>
    <row r="169" spans="1:30" ht="17.100000000000001" x14ac:dyDescent="0.45">
      <c r="A169" s="12">
        <v>191116</v>
      </c>
      <c r="B169" s="44">
        <v>0.375</v>
      </c>
      <c r="C169" s="12" t="s">
        <v>199</v>
      </c>
      <c r="D169" s="12" t="s">
        <v>200</v>
      </c>
      <c r="E169" s="12">
        <v>25</v>
      </c>
      <c r="F169" s="12">
        <v>26</v>
      </c>
      <c r="G169" s="12">
        <v>32</v>
      </c>
      <c r="H169" s="12">
        <v>26</v>
      </c>
      <c r="I169" s="12"/>
      <c r="J169" s="12">
        <v>35</v>
      </c>
      <c r="K169" s="12">
        <v>30</v>
      </c>
      <c r="L169" s="12">
        <v>18</v>
      </c>
      <c r="M169" s="12">
        <v>23</v>
      </c>
      <c r="N169" s="12"/>
      <c r="O169" s="12">
        <f t="shared" si="66"/>
        <v>109</v>
      </c>
      <c r="P169" s="12">
        <f t="shared" si="67"/>
        <v>106</v>
      </c>
      <c r="Q169" s="12" t="str">
        <f t="shared" si="68"/>
        <v>HL</v>
      </c>
      <c r="R169" s="12" t="str">
        <f t="shared" si="69"/>
        <v>HL</v>
      </c>
      <c r="S169" s="12" t="str">
        <f t="shared" si="70"/>
        <v>HW</v>
      </c>
      <c r="T169" s="12" t="str">
        <f t="shared" si="71"/>
        <v>HW</v>
      </c>
      <c r="U169" s="12" t="str">
        <f t="shared" si="72"/>
        <v>O</v>
      </c>
      <c r="V169" s="12" t="str">
        <f t="shared" si="73"/>
        <v>U</v>
      </c>
      <c r="W169" s="12" t="str">
        <f t="shared" si="74"/>
        <v>U</v>
      </c>
      <c r="X169" s="12" t="str">
        <f t="shared" si="75"/>
        <v>U</v>
      </c>
      <c r="Y169" s="12"/>
      <c r="Z169" s="12">
        <v>56.5</v>
      </c>
      <c r="AA169" s="12"/>
      <c r="AB169" s="12" t="str">
        <f t="shared" si="76"/>
        <v>CHA/DET</v>
      </c>
      <c r="AC169" s="12">
        <f t="shared" si="77"/>
        <v>1</v>
      </c>
      <c r="AD169" s="12">
        <f t="shared" si="78"/>
        <v>3</v>
      </c>
    </row>
    <row r="170" spans="1:30" ht="17.100000000000001" x14ac:dyDescent="0.45">
      <c r="A170" s="12">
        <v>191116</v>
      </c>
      <c r="B170" s="44">
        <v>0.41666666666666669</v>
      </c>
      <c r="C170" s="12" t="s">
        <v>201</v>
      </c>
      <c r="D170" s="12" t="s">
        <v>202</v>
      </c>
      <c r="E170" s="12">
        <v>26</v>
      </c>
      <c r="F170" s="12">
        <v>28</v>
      </c>
      <c r="G170" s="12">
        <v>26</v>
      </c>
      <c r="H170" s="12">
        <v>31</v>
      </c>
      <c r="I170" s="12"/>
      <c r="J170" s="12">
        <v>22</v>
      </c>
      <c r="K170" s="12">
        <v>27</v>
      </c>
      <c r="L170" s="12">
        <v>30</v>
      </c>
      <c r="M170" s="12">
        <v>23</v>
      </c>
      <c r="N170" s="12"/>
      <c r="O170" s="12">
        <f t="shared" si="66"/>
        <v>111</v>
      </c>
      <c r="P170" s="12">
        <f t="shared" si="67"/>
        <v>102</v>
      </c>
      <c r="Q170" s="12" t="str">
        <f t="shared" si="68"/>
        <v>HW</v>
      </c>
      <c r="R170" s="12" t="str">
        <f t="shared" si="69"/>
        <v>HW</v>
      </c>
      <c r="S170" s="12" t="str">
        <f t="shared" si="70"/>
        <v>HL</v>
      </c>
      <c r="T170" s="12" t="str">
        <f t="shared" si="71"/>
        <v>HW</v>
      </c>
      <c r="U170" s="12" t="str">
        <f t="shared" si="72"/>
        <v>U</v>
      </c>
      <c r="V170" s="12" t="str">
        <f t="shared" si="73"/>
        <v>U</v>
      </c>
      <c r="W170" s="12" t="str">
        <f t="shared" si="74"/>
        <v>U</v>
      </c>
      <c r="X170" s="12" t="str">
        <f t="shared" si="75"/>
        <v>U</v>
      </c>
      <c r="Y170" s="12"/>
      <c r="Z170" s="12">
        <v>58.5</v>
      </c>
      <c r="AA170" s="12"/>
      <c r="AB170" s="12" t="str">
        <f t="shared" si="76"/>
        <v>HOU/IND</v>
      </c>
      <c r="AC170" s="12">
        <f t="shared" si="77"/>
        <v>0</v>
      </c>
      <c r="AD170" s="12">
        <f t="shared" si="78"/>
        <v>4</v>
      </c>
    </row>
    <row r="171" spans="1:30" ht="17.100000000000001" x14ac:dyDescent="0.45">
      <c r="A171" s="12">
        <v>191116</v>
      </c>
      <c r="B171" s="44">
        <v>0.41666666666666669</v>
      </c>
      <c r="C171" s="12" t="s">
        <v>203</v>
      </c>
      <c r="D171" s="12" t="s">
        <v>204</v>
      </c>
      <c r="E171" s="12">
        <v>30</v>
      </c>
      <c r="F171" s="12">
        <v>43</v>
      </c>
      <c r="G171" s="12">
        <v>19</v>
      </c>
      <c r="H171" s="12">
        <v>24</v>
      </c>
      <c r="I171" s="12"/>
      <c r="J171" s="12">
        <v>39</v>
      </c>
      <c r="K171" s="12">
        <v>37</v>
      </c>
      <c r="L171" s="12">
        <v>26</v>
      </c>
      <c r="M171" s="12">
        <v>35</v>
      </c>
      <c r="N171" s="12"/>
      <c r="O171" s="12">
        <f t="shared" si="66"/>
        <v>116</v>
      </c>
      <c r="P171" s="12">
        <f t="shared" si="67"/>
        <v>137</v>
      </c>
      <c r="Q171" s="12" t="str">
        <f t="shared" si="68"/>
        <v>HL</v>
      </c>
      <c r="R171" s="12" t="str">
        <f t="shared" si="69"/>
        <v>HW</v>
      </c>
      <c r="S171" s="12" t="str">
        <f t="shared" si="70"/>
        <v>HL</v>
      </c>
      <c r="T171" s="12" t="str">
        <f t="shared" si="71"/>
        <v>HL</v>
      </c>
      <c r="U171" s="12" t="str">
        <f t="shared" si="72"/>
        <v>O</v>
      </c>
      <c r="V171" s="12" t="str">
        <f t="shared" si="73"/>
        <v>O</v>
      </c>
      <c r="W171" s="12" t="str">
        <f t="shared" si="74"/>
        <v>U</v>
      </c>
      <c r="X171" s="12" t="str">
        <f t="shared" si="75"/>
        <v>U</v>
      </c>
      <c r="Y171" s="12"/>
      <c r="Z171" s="12">
        <v>61.5</v>
      </c>
      <c r="AA171" s="12"/>
      <c r="AB171" s="12" t="str">
        <f t="shared" si="76"/>
        <v>MIN/WAS</v>
      </c>
      <c r="AC171" s="12">
        <f t="shared" si="77"/>
        <v>2</v>
      </c>
      <c r="AD171" s="12">
        <f t="shared" si="78"/>
        <v>2</v>
      </c>
    </row>
    <row r="172" spans="1:30" ht="17.100000000000001" x14ac:dyDescent="0.45">
      <c r="A172" s="12">
        <v>191116</v>
      </c>
      <c r="B172" s="44">
        <v>0.41666666666666669</v>
      </c>
      <c r="C172" s="12" t="s">
        <v>205</v>
      </c>
      <c r="D172" s="12" t="s">
        <v>206</v>
      </c>
      <c r="E172" s="12">
        <v>24</v>
      </c>
      <c r="F172" s="12">
        <v>30</v>
      </c>
      <c r="G172" s="12">
        <v>26</v>
      </c>
      <c r="H172" s="12">
        <v>27</v>
      </c>
      <c r="I172" s="12">
        <v>20</v>
      </c>
      <c r="J172" s="12">
        <v>29</v>
      </c>
      <c r="K172" s="12">
        <v>20</v>
      </c>
      <c r="L172" s="12">
        <v>34</v>
      </c>
      <c r="M172" s="12">
        <v>24</v>
      </c>
      <c r="N172" s="12">
        <v>12</v>
      </c>
      <c r="O172" s="12">
        <f t="shared" si="66"/>
        <v>127</v>
      </c>
      <c r="P172" s="12">
        <f t="shared" si="67"/>
        <v>119</v>
      </c>
      <c r="Q172" s="12" t="str">
        <f t="shared" si="68"/>
        <v>HL</v>
      </c>
      <c r="R172" s="12" t="str">
        <f t="shared" si="69"/>
        <v>HW</v>
      </c>
      <c r="S172" s="12" t="str">
        <f t="shared" si="70"/>
        <v>HL</v>
      </c>
      <c r="T172" s="12" t="str">
        <f t="shared" si="71"/>
        <v>HW</v>
      </c>
      <c r="U172" s="12" t="str">
        <f t="shared" si="72"/>
        <v>O</v>
      </c>
      <c r="V172" s="12" t="str">
        <f t="shared" si="73"/>
        <v>U</v>
      </c>
      <c r="W172" s="12" t="str">
        <f t="shared" si="74"/>
        <v>O</v>
      </c>
      <c r="X172" s="12" t="str">
        <f t="shared" si="75"/>
        <v>U</v>
      </c>
      <c r="Y172" s="12"/>
      <c r="Z172" s="12">
        <v>52.5</v>
      </c>
      <c r="AA172" s="12"/>
      <c r="AB172" s="12" t="str">
        <f t="shared" si="76"/>
        <v>OKC/PHI</v>
      </c>
      <c r="AC172" s="12">
        <f t="shared" si="77"/>
        <v>2</v>
      </c>
      <c r="AD172" s="12">
        <f t="shared" si="78"/>
        <v>2</v>
      </c>
    </row>
    <row r="173" spans="1:30" ht="17.100000000000001" x14ac:dyDescent="0.45">
      <c r="A173" s="12">
        <v>191116</v>
      </c>
      <c r="B173" s="44">
        <v>0.41666666666666669</v>
      </c>
      <c r="C173" s="12" t="s">
        <v>207</v>
      </c>
      <c r="D173" s="12" t="s">
        <v>208</v>
      </c>
      <c r="E173" s="12">
        <v>23</v>
      </c>
      <c r="F173" s="12">
        <v>30</v>
      </c>
      <c r="G173" s="12">
        <v>24</v>
      </c>
      <c r="H173" s="12">
        <v>30</v>
      </c>
      <c r="I173" s="12"/>
      <c r="J173" s="12">
        <v>26</v>
      </c>
      <c r="K173" s="12">
        <v>22</v>
      </c>
      <c r="L173" s="12">
        <v>31</v>
      </c>
      <c r="M173" s="12">
        <v>27</v>
      </c>
      <c r="N173" s="12"/>
      <c r="O173" s="12">
        <f t="shared" si="66"/>
        <v>107</v>
      </c>
      <c r="P173" s="12">
        <f t="shared" si="67"/>
        <v>106</v>
      </c>
      <c r="Q173" s="12" t="str">
        <f t="shared" si="68"/>
        <v>HL</v>
      </c>
      <c r="R173" s="12" t="str">
        <f t="shared" si="69"/>
        <v>HW</v>
      </c>
      <c r="S173" s="12" t="str">
        <f t="shared" si="70"/>
        <v>HL</v>
      </c>
      <c r="T173" s="12" t="str">
        <f t="shared" si="71"/>
        <v>HW</v>
      </c>
      <c r="U173" s="12" t="str">
        <f t="shared" si="72"/>
        <v>U</v>
      </c>
      <c r="V173" s="12" t="str">
        <f t="shared" si="73"/>
        <v>U</v>
      </c>
      <c r="W173" s="12" t="str">
        <f t="shared" si="74"/>
        <v>O</v>
      </c>
      <c r="X173" s="12" t="str">
        <f t="shared" si="75"/>
        <v>O</v>
      </c>
      <c r="Y173" s="12"/>
      <c r="Z173" s="12">
        <v>53</v>
      </c>
      <c r="AA173" s="12"/>
      <c r="AB173" s="12" t="str">
        <f t="shared" si="76"/>
        <v>MEM/UTA</v>
      </c>
      <c r="AC173" s="12">
        <f t="shared" si="77"/>
        <v>2</v>
      </c>
      <c r="AD173" s="12">
        <f t="shared" si="78"/>
        <v>2</v>
      </c>
    </row>
    <row r="174" spans="1:30" ht="17.100000000000001" x14ac:dyDescent="0.45">
      <c r="A174" s="12">
        <v>191116</v>
      </c>
      <c r="B174" s="44">
        <v>0.52083333333333337</v>
      </c>
      <c r="C174" s="12" t="s">
        <v>209</v>
      </c>
      <c r="D174" s="12" t="s">
        <v>210</v>
      </c>
      <c r="E174" s="12">
        <v>32</v>
      </c>
      <c r="F174" s="12">
        <v>19</v>
      </c>
      <c r="G174" s="12">
        <v>20</v>
      </c>
      <c r="H174" s="12">
        <v>29</v>
      </c>
      <c r="I174" s="12"/>
      <c r="J174" s="12">
        <v>23</v>
      </c>
      <c r="K174" s="12">
        <v>29</v>
      </c>
      <c r="L174" s="12">
        <v>24</v>
      </c>
      <c r="M174" s="12">
        <v>29</v>
      </c>
      <c r="N174" s="12"/>
      <c r="O174" s="12">
        <f t="shared" si="66"/>
        <v>100</v>
      </c>
      <c r="P174" s="12">
        <f t="shared" si="67"/>
        <v>105</v>
      </c>
      <c r="Q174" s="12" t="str">
        <f t="shared" si="68"/>
        <v>HW</v>
      </c>
      <c r="R174" s="12" t="str">
        <f t="shared" si="69"/>
        <v>HL</v>
      </c>
      <c r="S174" s="12" t="str">
        <f t="shared" si="70"/>
        <v>HL</v>
      </c>
      <c r="T174" s="12" t="str">
        <f t="shared" si="71"/>
        <v>TT</v>
      </c>
      <c r="U174" s="12" t="str">
        <f t="shared" si="72"/>
        <v>T</v>
      </c>
      <c r="V174" s="12" t="str">
        <f t="shared" si="73"/>
        <v>U</v>
      </c>
      <c r="W174" s="12" t="str">
        <f t="shared" si="74"/>
        <v>U</v>
      </c>
      <c r="X174" s="12" t="str">
        <f t="shared" si="75"/>
        <v>O</v>
      </c>
      <c r="Y174" s="12"/>
      <c r="Z174" s="12">
        <v>55</v>
      </c>
      <c r="AA174" s="12"/>
      <c r="AB174" s="12" t="str">
        <f t="shared" si="76"/>
        <v>GS/BOS</v>
      </c>
      <c r="AC174" s="12">
        <f t="shared" si="77"/>
        <v>1</v>
      </c>
      <c r="AD174" s="12">
        <f t="shared" si="78"/>
        <v>2</v>
      </c>
    </row>
    <row r="175" spans="1:30" ht="17.100000000000001" x14ac:dyDescent="0.45">
      <c r="A175" s="12">
        <v>191116</v>
      </c>
      <c r="B175" s="44">
        <v>0.52083333333333337</v>
      </c>
      <c r="C175" s="12" t="s">
        <v>211</v>
      </c>
      <c r="D175" s="12" t="s">
        <v>212</v>
      </c>
      <c r="E175" s="12">
        <v>20</v>
      </c>
      <c r="F175" s="12">
        <v>29</v>
      </c>
      <c r="G175" s="12">
        <v>25</v>
      </c>
      <c r="H175" s="12">
        <v>25</v>
      </c>
      <c r="I175" s="12"/>
      <c r="J175" s="12">
        <v>30</v>
      </c>
      <c r="K175" s="12">
        <v>20</v>
      </c>
      <c r="L175" s="12">
        <v>21</v>
      </c>
      <c r="M175" s="12">
        <v>26</v>
      </c>
      <c r="N175" s="12"/>
      <c r="O175" s="12">
        <f t="shared" si="66"/>
        <v>99</v>
      </c>
      <c r="P175" s="12">
        <f t="shared" si="67"/>
        <v>97</v>
      </c>
      <c r="Q175" s="12" t="str">
        <f t="shared" si="68"/>
        <v>HL</v>
      </c>
      <c r="R175" s="12" t="str">
        <f t="shared" si="69"/>
        <v>HW</v>
      </c>
      <c r="S175" s="12" t="str">
        <f t="shared" si="70"/>
        <v>HW</v>
      </c>
      <c r="T175" s="12" t="str">
        <f t="shared" si="71"/>
        <v>HL</v>
      </c>
      <c r="U175" s="12" t="str">
        <f t="shared" si="72"/>
        <v>U</v>
      </c>
      <c r="V175" s="12" t="str">
        <f t="shared" si="73"/>
        <v>U</v>
      </c>
      <c r="W175" s="12" t="str">
        <f t="shared" si="74"/>
        <v>U</v>
      </c>
      <c r="X175" s="12" t="str">
        <f t="shared" si="75"/>
        <v>U</v>
      </c>
      <c r="Y175" s="12"/>
      <c r="Z175" s="12">
        <v>55.5</v>
      </c>
      <c r="AA175" s="12"/>
      <c r="AB175" s="12" t="str">
        <f t="shared" si="76"/>
        <v>LAL/SAC</v>
      </c>
      <c r="AC175" s="12">
        <f t="shared" si="77"/>
        <v>0</v>
      </c>
      <c r="AD175" s="12">
        <f t="shared" si="78"/>
        <v>4</v>
      </c>
    </row>
    <row r="176" spans="1:30" ht="17.100000000000001" x14ac:dyDescent="0.45">
      <c r="A176" s="12">
        <v>191117</v>
      </c>
      <c r="B176" s="44">
        <v>0.33333333333333331</v>
      </c>
      <c r="C176" s="12" t="s">
        <v>32</v>
      </c>
      <c r="D176" s="12" t="s">
        <v>30</v>
      </c>
      <c r="E176" s="12">
        <v>19</v>
      </c>
      <c r="F176" s="12">
        <v>37</v>
      </c>
      <c r="G176" s="12">
        <v>22</v>
      </c>
      <c r="H176" s="12">
        <v>33</v>
      </c>
      <c r="I176" s="12"/>
      <c r="J176" s="12">
        <v>30</v>
      </c>
      <c r="K176" s="12">
        <v>20</v>
      </c>
      <c r="L176" s="12">
        <v>24</v>
      </c>
      <c r="M176" s="12">
        <v>43</v>
      </c>
      <c r="N176" s="12"/>
      <c r="O176" s="12">
        <f t="shared" ref="O176:O202" si="79">SUM(E176:I176)</f>
        <v>111</v>
      </c>
      <c r="P176" s="12">
        <f t="shared" ref="P176:P202" si="80">SUM(J176:N176)</f>
        <v>117</v>
      </c>
      <c r="Q176" s="12" t="str">
        <f t="shared" ref="Q176:Q202" si="81">IF(E176=J176,"TT",IF(E176&gt;J176,"HW","HL"))</f>
        <v>HL</v>
      </c>
      <c r="R176" s="12" t="str">
        <f t="shared" ref="R176:R202" si="82">IF(F176=K176,"TT",IF(F176&gt;K176,"HW","HL"))</f>
        <v>HW</v>
      </c>
      <c r="S176" s="12" t="str">
        <f t="shared" ref="S176:S202" si="83">IF(G176=L176,"TT",IF(G176&gt;L176,"HW","HL"))</f>
        <v>HL</v>
      </c>
      <c r="T176" s="12" t="str">
        <f t="shared" ref="T176:T202" si="84">IF(H176=M176,"TT",IF(H176&gt;M176,"HW","HL"))</f>
        <v>HL</v>
      </c>
      <c r="U176" s="12" t="str">
        <f t="shared" ref="U176:U201" si="85">IF(SUM(E176,J176)=$Z176,"T",IF(SUM(E176,J176)&gt;$Z176,"O","U"))</f>
        <v>U</v>
      </c>
      <c r="V176" s="12" t="str">
        <f t="shared" ref="V176:V201" si="86">IF(SUM(F176,K176)=$Z176,"T",IF(SUM(F176,K176)&gt;$Z176,"O","U"))</f>
        <v>O</v>
      </c>
      <c r="W176" s="12" t="str">
        <f t="shared" ref="W176:W201" si="87">IF(SUM(G176,L176)=$Z176,"T",IF(SUM(G176,L176)&gt;$Z176,"O","U"))</f>
        <v>U</v>
      </c>
      <c r="X176" s="12" t="str">
        <f t="shared" ref="X176:X201" si="88">IF(SUM(H176,M176)=$Z176,"T",IF(SUM(H176,M176)&gt;$Z176,"O","U"))</f>
        <v>O</v>
      </c>
      <c r="Z176" s="12">
        <v>55</v>
      </c>
      <c r="AB176" s="12" t="str">
        <f t="shared" ref="AB176:AB213" si="89">C176&amp;"/"&amp;D176</f>
        <v>CHI/BKN</v>
      </c>
      <c r="AC176" s="12">
        <f t="shared" ref="AC176:AC202" si="90">COUNTIF(U176:X176,"o")</f>
        <v>2</v>
      </c>
      <c r="AD176" s="12">
        <f t="shared" ref="AD176:AD202" si="91">COUNTIF(U176:X176,"u")</f>
        <v>2</v>
      </c>
    </row>
    <row r="177" spans="1:30" ht="17.100000000000001" x14ac:dyDescent="0.45">
      <c r="A177" s="12">
        <v>191117</v>
      </c>
      <c r="B177" s="44">
        <v>0.375</v>
      </c>
      <c r="C177" s="12" t="s">
        <v>35</v>
      </c>
      <c r="D177" s="12" t="s">
        <v>53</v>
      </c>
      <c r="E177" s="12">
        <v>22</v>
      </c>
      <c r="F177" s="12">
        <v>14</v>
      </c>
      <c r="G177" s="12">
        <v>27</v>
      </c>
      <c r="H177" s="12">
        <v>20</v>
      </c>
      <c r="I177" s="12"/>
      <c r="J177" s="12">
        <v>26</v>
      </c>
      <c r="K177" s="12">
        <v>23</v>
      </c>
      <c r="L177" s="12">
        <v>22</v>
      </c>
      <c r="M177" s="12">
        <v>31</v>
      </c>
      <c r="N177" s="12"/>
      <c r="O177" s="12">
        <f t="shared" si="79"/>
        <v>83</v>
      </c>
      <c r="P177" s="12">
        <f t="shared" si="80"/>
        <v>102</v>
      </c>
      <c r="Q177" s="12" t="str">
        <f t="shared" si="81"/>
        <v>HL</v>
      </c>
      <c r="R177" s="12" t="str">
        <f t="shared" si="82"/>
        <v>HL</v>
      </c>
      <c r="S177" s="12" t="str">
        <f t="shared" si="83"/>
        <v>HW</v>
      </c>
      <c r="T177" s="12" t="str">
        <f t="shared" si="84"/>
        <v>HL</v>
      </c>
      <c r="U177" s="12" t="str">
        <f t="shared" si="85"/>
        <v>U</v>
      </c>
      <c r="V177" s="12" t="str">
        <f t="shared" si="86"/>
        <v>U</v>
      </c>
      <c r="W177" s="12" t="str">
        <f t="shared" si="87"/>
        <v>U</v>
      </c>
      <c r="X177" s="12" t="str">
        <f t="shared" si="88"/>
        <v>U</v>
      </c>
      <c r="Z177" s="12">
        <v>54</v>
      </c>
      <c r="AB177" s="12" t="str">
        <f t="shared" si="89"/>
        <v>IND/MIL</v>
      </c>
      <c r="AC177" s="12">
        <f t="shared" si="90"/>
        <v>0</v>
      </c>
      <c r="AD177" s="12">
        <f t="shared" si="91"/>
        <v>4</v>
      </c>
    </row>
    <row r="178" spans="1:30" ht="17.100000000000001" x14ac:dyDescent="0.45">
      <c r="A178" s="12">
        <v>191117</v>
      </c>
      <c r="B178" s="44">
        <v>0.39583333333333331</v>
      </c>
      <c r="C178" s="12" t="s">
        <v>47</v>
      </c>
      <c r="D178" s="12" t="s">
        <v>31</v>
      </c>
      <c r="E178" s="12">
        <v>23</v>
      </c>
      <c r="F178" s="12">
        <v>32</v>
      </c>
      <c r="G178" s="12">
        <v>21</v>
      </c>
      <c r="H178" s="12">
        <v>26</v>
      </c>
      <c r="I178" s="12"/>
      <c r="J178" s="12">
        <v>20</v>
      </c>
      <c r="K178" s="12">
        <v>27</v>
      </c>
      <c r="L178" s="12">
        <v>28</v>
      </c>
      <c r="M178" s="12">
        <v>28</v>
      </c>
      <c r="N178" s="12"/>
      <c r="O178" s="12">
        <f t="shared" si="79"/>
        <v>102</v>
      </c>
      <c r="P178" s="12">
        <f t="shared" si="80"/>
        <v>103</v>
      </c>
      <c r="Q178" s="12" t="str">
        <f t="shared" si="81"/>
        <v>HW</v>
      </c>
      <c r="R178" s="12" t="str">
        <f t="shared" si="82"/>
        <v>HW</v>
      </c>
      <c r="S178" s="12" t="str">
        <f t="shared" si="83"/>
        <v>HL</v>
      </c>
      <c r="T178" s="12" t="str">
        <f t="shared" si="84"/>
        <v>HL</v>
      </c>
      <c r="U178" s="12" t="str">
        <f t="shared" si="85"/>
        <v>U</v>
      </c>
      <c r="V178" s="12" t="str">
        <f t="shared" si="86"/>
        <v>O</v>
      </c>
      <c r="W178" s="12" t="str">
        <f t="shared" si="87"/>
        <v>U</v>
      </c>
      <c r="X178" s="12" t="str">
        <f t="shared" si="88"/>
        <v>U</v>
      </c>
      <c r="Z178" s="12">
        <v>54.5</v>
      </c>
      <c r="AB178" s="12" t="str">
        <f t="shared" si="89"/>
        <v>NYK/CHA</v>
      </c>
      <c r="AC178" s="12">
        <f t="shared" si="90"/>
        <v>1</v>
      </c>
      <c r="AD178" s="12">
        <f t="shared" si="91"/>
        <v>3</v>
      </c>
    </row>
    <row r="179" spans="1:30" ht="17.100000000000001" x14ac:dyDescent="0.45">
      <c r="A179" s="12">
        <v>191117</v>
      </c>
      <c r="B179" s="44">
        <v>0.41666666666666669</v>
      </c>
      <c r="C179" s="11" t="s">
        <v>37</v>
      </c>
      <c r="D179" s="12" t="s">
        <v>27</v>
      </c>
      <c r="E179" s="12">
        <v>29</v>
      </c>
      <c r="F179" s="12">
        <v>25</v>
      </c>
      <c r="G179" s="12">
        <v>24</v>
      </c>
      <c r="H179" s="12">
        <v>31</v>
      </c>
      <c r="I179" s="12"/>
      <c r="J179" s="12">
        <v>22</v>
      </c>
      <c r="K179" s="12">
        <v>27</v>
      </c>
      <c r="L179" s="12">
        <v>16</v>
      </c>
      <c r="M179" s="12">
        <v>29</v>
      </c>
      <c r="N179" s="12"/>
      <c r="O179" s="12">
        <f t="shared" si="79"/>
        <v>109</v>
      </c>
      <c r="P179" s="12">
        <f t="shared" si="80"/>
        <v>94</v>
      </c>
      <c r="Q179" s="12" t="str">
        <f t="shared" si="81"/>
        <v>HW</v>
      </c>
      <c r="R179" s="12" t="str">
        <f t="shared" si="82"/>
        <v>HL</v>
      </c>
      <c r="S179" s="12" t="str">
        <f t="shared" si="83"/>
        <v>HW</v>
      </c>
      <c r="T179" s="12" t="str">
        <f t="shared" si="84"/>
        <v>HW</v>
      </c>
      <c r="U179" s="12" t="str">
        <f t="shared" si="85"/>
        <v>U</v>
      </c>
      <c r="V179" s="12" t="str">
        <f t="shared" si="86"/>
        <v>U</v>
      </c>
      <c r="W179" s="12" t="str">
        <f t="shared" si="87"/>
        <v>U</v>
      </c>
      <c r="X179" s="12" t="str">
        <f t="shared" si="88"/>
        <v>O</v>
      </c>
      <c r="Z179" s="12">
        <v>58</v>
      </c>
      <c r="AB179" s="12" t="str">
        <f t="shared" si="89"/>
        <v>MIA/NO</v>
      </c>
      <c r="AC179" s="12">
        <f t="shared" si="90"/>
        <v>1</v>
      </c>
      <c r="AD179" s="12">
        <f t="shared" si="91"/>
        <v>3</v>
      </c>
    </row>
    <row r="180" spans="1:30" ht="17.100000000000001" x14ac:dyDescent="0.45">
      <c r="A180" s="12">
        <v>191117</v>
      </c>
      <c r="B180" s="44">
        <v>0.41666666666666669</v>
      </c>
      <c r="C180" s="12" t="s">
        <v>29</v>
      </c>
      <c r="D180" s="11" t="s">
        <v>52</v>
      </c>
      <c r="E180" s="12">
        <v>30</v>
      </c>
      <c r="F180" s="12">
        <v>32</v>
      </c>
      <c r="G180" s="12">
        <v>23</v>
      </c>
      <c r="H180" s="12">
        <v>20</v>
      </c>
      <c r="I180" s="12"/>
      <c r="J180" s="12">
        <v>31</v>
      </c>
      <c r="K180" s="12">
        <v>33</v>
      </c>
      <c r="L180" s="12">
        <v>29</v>
      </c>
      <c r="M180" s="12">
        <v>32</v>
      </c>
      <c r="N180" s="12"/>
      <c r="O180" s="12">
        <f t="shared" si="79"/>
        <v>105</v>
      </c>
      <c r="P180" s="12">
        <f t="shared" si="80"/>
        <v>125</v>
      </c>
      <c r="Q180" s="12" t="str">
        <f t="shared" si="81"/>
        <v>HL</v>
      </c>
      <c r="R180" s="12" t="str">
        <f t="shared" si="82"/>
        <v>HL</v>
      </c>
      <c r="S180" s="12" t="str">
        <f t="shared" si="83"/>
        <v>HL</v>
      </c>
      <c r="T180" s="12" t="str">
        <f t="shared" si="84"/>
        <v>HL</v>
      </c>
      <c r="U180" s="12" t="str">
        <f t="shared" si="85"/>
        <v>O</v>
      </c>
      <c r="V180" s="12" t="str">
        <f t="shared" si="86"/>
        <v>O</v>
      </c>
      <c r="W180" s="12" t="str">
        <f t="shared" si="87"/>
        <v>U</v>
      </c>
      <c r="X180" s="12" t="str">
        <f t="shared" si="88"/>
        <v>U</v>
      </c>
      <c r="Z180" s="12">
        <v>59</v>
      </c>
      <c r="AB180" s="12" t="str">
        <f t="shared" si="89"/>
        <v>MIN/HOU</v>
      </c>
      <c r="AC180" s="12">
        <f t="shared" si="90"/>
        <v>2</v>
      </c>
      <c r="AD180" s="12">
        <f t="shared" si="91"/>
        <v>2</v>
      </c>
    </row>
    <row r="181" spans="1:30" ht="17.100000000000001" x14ac:dyDescent="0.45">
      <c r="A181" s="12">
        <v>191117</v>
      </c>
      <c r="B181" s="44">
        <v>0.4375</v>
      </c>
      <c r="C181" s="12" t="s">
        <v>33</v>
      </c>
      <c r="D181" s="12" t="s">
        <v>28</v>
      </c>
      <c r="E181" s="12">
        <v>32</v>
      </c>
      <c r="F181" s="12">
        <v>21</v>
      </c>
      <c r="G181" s="12">
        <v>25</v>
      </c>
      <c r="H181" s="12">
        <v>32</v>
      </c>
      <c r="I181" s="12"/>
      <c r="J181" s="12">
        <v>22</v>
      </c>
      <c r="K181" s="12">
        <v>38</v>
      </c>
      <c r="L181" s="12">
        <v>17</v>
      </c>
      <c r="M181" s="12">
        <v>25</v>
      </c>
      <c r="N181" s="12"/>
      <c r="O181" s="12">
        <f t="shared" si="79"/>
        <v>110</v>
      </c>
      <c r="P181" s="12">
        <f t="shared" si="80"/>
        <v>102</v>
      </c>
      <c r="Q181" s="12" t="str">
        <f t="shared" si="81"/>
        <v>HW</v>
      </c>
      <c r="R181" s="12" t="str">
        <f t="shared" si="82"/>
        <v>HL</v>
      </c>
      <c r="S181" s="12" t="str">
        <f t="shared" si="83"/>
        <v>HW</v>
      </c>
      <c r="T181" s="12" t="str">
        <f t="shared" si="84"/>
        <v>HW</v>
      </c>
      <c r="U181" s="12" t="str">
        <f t="shared" si="85"/>
        <v>U</v>
      </c>
      <c r="V181" s="12" t="str">
        <f t="shared" si="86"/>
        <v>O</v>
      </c>
      <c r="W181" s="12" t="str">
        <f t="shared" si="87"/>
        <v>U</v>
      </c>
      <c r="X181" s="12" t="str">
        <f t="shared" si="88"/>
        <v>O</v>
      </c>
      <c r="Z181" s="12">
        <v>56</v>
      </c>
      <c r="AB181" s="12" t="str">
        <f t="shared" si="89"/>
        <v>DAL/TOR</v>
      </c>
      <c r="AC181" s="12">
        <f t="shared" si="90"/>
        <v>2</v>
      </c>
      <c r="AD181" s="12">
        <f t="shared" si="91"/>
        <v>2</v>
      </c>
    </row>
    <row r="182" spans="1:30" ht="17.100000000000001" x14ac:dyDescent="0.45">
      <c r="A182" s="12">
        <v>191117</v>
      </c>
      <c r="B182" s="44">
        <v>0.4375</v>
      </c>
      <c r="C182" s="12" t="s">
        <v>56</v>
      </c>
      <c r="D182" s="12" t="s">
        <v>45</v>
      </c>
      <c r="E182" s="12">
        <v>23</v>
      </c>
      <c r="F182" s="12">
        <v>35</v>
      </c>
      <c r="G182" s="12">
        <v>38</v>
      </c>
      <c r="H182" s="12">
        <v>20</v>
      </c>
      <c r="I182" s="12"/>
      <c r="J182" s="12">
        <v>41</v>
      </c>
      <c r="K182" s="12">
        <v>25</v>
      </c>
      <c r="L182" s="12">
        <v>24</v>
      </c>
      <c r="M182" s="12">
        <v>31</v>
      </c>
      <c r="N182" s="12"/>
      <c r="O182" s="12">
        <f t="shared" si="79"/>
        <v>116</v>
      </c>
      <c r="P182" s="12">
        <f t="shared" si="80"/>
        <v>121</v>
      </c>
      <c r="Q182" s="12" t="str">
        <f t="shared" si="81"/>
        <v>HL</v>
      </c>
      <c r="R182" s="12" t="str">
        <f t="shared" si="82"/>
        <v>HW</v>
      </c>
      <c r="S182" s="12" t="str">
        <f t="shared" si="83"/>
        <v>HW</v>
      </c>
      <c r="T182" s="12" t="str">
        <f t="shared" si="84"/>
        <v>HL</v>
      </c>
      <c r="U182" s="12" t="str">
        <f t="shared" si="85"/>
        <v>O</v>
      </c>
      <c r="V182" s="12" t="str">
        <f t="shared" si="86"/>
        <v>O</v>
      </c>
      <c r="W182" s="12" t="str">
        <f t="shared" si="87"/>
        <v>O</v>
      </c>
      <c r="X182" s="12" t="str">
        <f t="shared" si="88"/>
        <v>U</v>
      </c>
      <c r="Z182" s="12">
        <v>55</v>
      </c>
      <c r="AB182" s="12" t="str">
        <f t="shared" si="89"/>
        <v>SAS/POR</v>
      </c>
      <c r="AC182" s="12">
        <f t="shared" si="90"/>
        <v>3</v>
      </c>
      <c r="AD182" s="12">
        <f t="shared" si="91"/>
        <v>1</v>
      </c>
    </row>
    <row r="183" spans="1:30" ht="17.100000000000001" x14ac:dyDescent="0.45">
      <c r="A183" s="12">
        <v>191117</v>
      </c>
      <c r="B183" s="44">
        <v>0.52083333333333337</v>
      </c>
      <c r="C183" s="12" t="s">
        <v>25</v>
      </c>
      <c r="D183" s="12" t="s">
        <v>50</v>
      </c>
      <c r="E183" s="12">
        <v>43</v>
      </c>
      <c r="F183" s="12">
        <v>31</v>
      </c>
      <c r="G183" s="12">
        <v>38</v>
      </c>
      <c r="H183" s="12">
        <v>38</v>
      </c>
      <c r="I183" s="12"/>
      <c r="J183" s="12">
        <v>30</v>
      </c>
      <c r="K183" s="12">
        <v>32</v>
      </c>
      <c r="L183" s="12">
        <v>20</v>
      </c>
      <c r="M183" s="12">
        <v>19</v>
      </c>
      <c r="N183" s="12"/>
      <c r="O183" s="12">
        <f t="shared" si="79"/>
        <v>150</v>
      </c>
      <c r="P183" s="12">
        <f t="shared" si="80"/>
        <v>101</v>
      </c>
      <c r="Q183" s="12" t="str">
        <f t="shared" si="81"/>
        <v>HW</v>
      </c>
      <c r="R183" s="12" t="str">
        <f t="shared" si="82"/>
        <v>HL</v>
      </c>
      <c r="S183" s="12" t="str">
        <f t="shared" si="83"/>
        <v>HW</v>
      </c>
      <c r="T183" s="12" t="str">
        <f t="shared" si="84"/>
        <v>HW</v>
      </c>
      <c r="U183" s="12" t="str">
        <f t="shared" si="85"/>
        <v>O</v>
      </c>
      <c r="V183" s="12" t="str">
        <f t="shared" si="86"/>
        <v>O</v>
      </c>
      <c r="W183" s="12" t="str">
        <f t="shared" si="87"/>
        <v>O</v>
      </c>
      <c r="X183" s="12" t="str">
        <f t="shared" si="88"/>
        <v>U</v>
      </c>
      <c r="Z183" s="12">
        <v>57.5</v>
      </c>
      <c r="AB183" s="12" t="str">
        <f t="shared" si="89"/>
        <v>LAC/ATL</v>
      </c>
      <c r="AC183" s="12">
        <f t="shared" si="90"/>
        <v>3</v>
      </c>
      <c r="AD183" s="12">
        <f t="shared" si="91"/>
        <v>1</v>
      </c>
    </row>
    <row r="184" spans="1:30" ht="17.100000000000001" x14ac:dyDescent="0.45">
      <c r="A184" s="12">
        <v>191118</v>
      </c>
      <c r="B184" s="44">
        <v>0.20833333333333334</v>
      </c>
      <c r="C184" s="12" t="s">
        <v>224</v>
      </c>
      <c r="D184" s="12" t="s">
        <v>225</v>
      </c>
      <c r="E184" s="12">
        <v>22</v>
      </c>
      <c r="F184" s="12">
        <v>22</v>
      </c>
      <c r="G184" s="12">
        <v>25</v>
      </c>
      <c r="H184" s="12">
        <v>26</v>
      </c>
      <c r="I184" s="12"/>
      <c r="J184" s="12">
        <v>33</v>
      </c>
      <c r="K184" s="12">
        <v>35</v>
      </c>
      <c r="L184" s="12">
        <v>27</v>
      </c>
      <c r="M184" s="12">
        <v>19</v>
      </c>
      <c r="O184" s="12">
        <f t="shared" si="79"/>
        <v>95</v>
      </c>
      <c r="P184" s="12">
        <f t="shared" si="80"/>
        <v>114</v>
      </c>
      <c r="Q184" s="12" t="str">
        <f t="shared" si="81"/>
        <v>HL</v>
      </c>
      <c r="R184" s="12" t="str">
        <f t="shared" si="82"/>
        <v>HL</v>
      </c>
      <c r="S184" s="12" t="str">
        <f t="shared" si="83"/>
        <v>HL</v>
      </c>
      <c r="T184" s="12" t="str">
        <f t="shared" si="84"/>
        <v>HW</v>
      </c>
      <c r="U184" s="12" t="str">
        <f t="shared" si="85"/>
        <v>O</v>
      </c>
      <c r="V184" s="12" t="str">
        <f t="shared" si="86"/>
        <v>O</v>
      </c>
      <c r="W184" s="12" t="str">
        <f t="shared" si="87"/>
        <v>U</v>
      </c>
      <c r="X184" s="12" t="str">
        <f t="shared" si="88"/>
        <v>U</v>
      </c>
      <c r="Z184" s="12">
        <v>53</v>
      </c>
      <c r="AB184" s="12" t="str">
        <f t="shared" si="89"/>
        <v>CLE/PHI</v>
      </c>
      <c r="AC184" s="12">
        <f t="shared" si="90"/>
        <v>2</v>
      </c>
      <c r="AD184" s="12">
        <f t="shared" si="91"/>
        <v>2</v>
      </c>
    </row>
    <row r="185" spans="1:30" ht="17.100000000000001" x14ac:dyDescent="0.45">
      <c r="A185" s="12">
        <v>191118</v>
      </c>
      <c r="B185" s="44">
        <v>0.22916666666666666</v>
      </c>
      <c r="C185" s="12" t="s">
        <v>226</v>
      </c>
      <c r="D185" s="12" t="s">
        <v>227</v>
      </c>
      <c r="E185" s="12">
        <v>30</v>
      </c>
      <c r="F185" s="12">
        <v>20</v>
      </c>
      <c r="G185" s="12">
        <v>21</v>
      </c>
      <c r="H185" s="12">
        <v>29</v>
      </c>
      <c r="I185" s="12"/>
      <c r="J185" s="12">
        <v>18</v>
      </c>
      <c r="K185" s="12">
        <v>28</v>
      </c>
      <c r="L185" s="12">
        <v>29</v>
      </c>
      <c r="M185" s="12">
        <v>24</v>
      </c>
      <c r="O185" s="12">
        <f t="shared" si="79"/>
        <v>100</v>
      </c>
      <c r="P185" s="12">
        <f t="shared" si="80"/>
        <v>99</v>
      </c>
      <c r="Q185" s="12" t="str">
        <f t="shared" si="81"/>
        <v>HW</v>
      </c>
      <c r="R185" s="12" t="str">
        <f t="shared" si="82"/>
        <v>HL</v>
      </c>
      <c r="S185" s="12" t="str">
        <f t="shared" si="83"/>
        <v>HL</v>
      </c>
      <c r="T185" s="12" t="str">
        <f t="shared" si="84"/>
        <v>HW</v>
      </c>
      <c r="U185" s="12" t="str">
        <f t="shared" si="85"/>
        <v>U</v>
      </c>
      <c r="V185" s="12" t="str">
        <f t="shared" si="86"/>
        <v>U</v>
      </c>
      <c r="W185" s="12" t="str">
        <f t="shared" si="87"/>
        <v>U</v>
      </c>
      <c r="X185" s="12" t="str">
        <f t="shared" si="88"/>
        <v>T</v>
      </c>
      <c r="Z185" s="12">
        <v>53</v>
      </c>
      <c r="AB185" s="12" t="str">
        <f t="shared" si="89"/>
        <v>SAC/BOS</v>
      </c>
      <c r="AC185" s="12">
        <f t="shared" si="90"/>
        <v>0</v>
      </c>
      <c r="AD185" s="12">
        <f t="shared" si="91"/>
        <v>3</v>
      </c>
    </row>
    <row r="186" spans="1:30" ht="17.100000000000001" x14ac:dyDescent="0.45">
      <c r="A186" s="12">
        <v>191118</v>
      </c>
      <c r="B186" s="44">
        <v>0.33333333333333331</v>
      </c>
      <c r="C186" s="12" t="s">
        <v>228</v>
      </c>
      <c r="D186" s="12" t="s">
        <v>34</v>
      </c>
      <c r="E186" s="12">
        <v>29</v>
      </c>
      <c r="F186" s="12">
        <v>32</v>
      </c>
      <c r="G186" s="12">
        <v>27</v>
      </c>
      <c r="H186" s="12">
        <v>37</v>
      </c>
      <c r="I186" s="12"/>
      <c r="J186" s="12">
        <v>22</v>
      </c>
      <c r="K186" s="12">
        <v>30</v>
      </c>
      <c r="L186" s="12">
        <v>25</v>
      </c>
      <c r="M186" s="12">
        <v>44</v>
      </c>
      <c r="O186" s="12">
        <f t="shared" si="79"/>
        <v>125</v>
      </c>
      <c r="P186" s="12">
        <f t="shared" si="80"/>
        <v>121</v>
      </c>
      <c r="Q186" s="12" t="str">
        <f t="shared" si="81"/>
        <v>HW</v>
      </c>
      <c r="R186" s="12" t="str">
        <f t="shared" si="82"/>
        <v>HW</v>
      </c>
      <c r="S186" s="12" t="str">
        <f t="shared" si="83"/>
        <v>HW</v>
      </c>
      <c r="T186" s="12" t="str">
        <f t="shared" si="84"/>
        <v>HL</v>
      </c>
      <c r="U186" s="12" t="str">
        <f t="shared" si="85"/>
        <v>U</v>
      </c>
      <c r="V186" s="12" t="str">
        <f t="shared" si="86"/>
        <v>O</v>
      </c>
      <c r="W186" s="12" t="str">
        <f t="shared" si="87"/>
        <v>U</v>
      </c>
      <c r="X186" s="12" t="str">
        <f t="shared" si="88"/>
        <v>O</v>
      </c>
      <c r="Z186" s="12">
        <v>57.5</v>
      </c>
      <c r="AB186" s="12" t="str">
        <f t="shared" si="89"/>
        <v>ORL/WAS</v>
      </c>
      <c r="AC186" s="12">
        <f t="shared" si="90"/>
        <v>2</v>
      </c>
      <c r="AD186" s="12">
        <f t="shared" si="91"/>
        <v>2</v>
      </c>
    </row>
    <row r="187" spans="1:30" ht="17.100000000000001" x14ac:dyDescent="0.45">
      <c r="A187" s="12">
        <v>191118</v>
      </c>
      <c r="B187" s="44">
        <v>0.33333333333333331</v>
      </c>
      <c r="C187" s="12" t="s">
        <v>229</v>
      </c>
      <c r="D187" s="12" t="s">
        <v>230</v>
      </c>
      <c r="E187" s="12">
        <v>32</v>
      </c>
      <c r="F187" s="12">
        <v>17</v>
      </c>
      <c r="G187" s="12">
        <v>31</v>
      </c>
      <c r="H187" s="12">
        <v>34</v>
      </c>
      <c r="I187" s="12"/>
      <c r="J187" s="12">
        <v>28</v>
      </c>
      <c r="K187" s="12">
        <v>44</v>
      </c>
      <c r="L187" s="12">
        <v>36</v>
      </c>
      <c r="M187" s="12">
        <v>23</v>
      </c>
      <c r="O187" s="12">
        <f t="shared" si="79"/>
        <v>114</v>
      </c>
      <c r="P187" s="12">
        <f t="shared" si="80"/>
        <v>131</v>
      </c>
      <c r="Q187" s="12" t="str">
        <f t="shared" si="81"/>
        <v>HW</v>
      </c>
      <c r="R187" s="12" t="str">
        <f t="shared" si="82"/>
        <v>HL</v>
      </c>
      <c r="S187" s="12" t="str">
        <f t="shared" si="83"/>
        <v>HL</v>
      </c>
      <c r="T187" s="12" t="str">
        <f t="shared" si="84"/>
        <v>HW</v>
      </c>
      <c r="U187" s="12" t="str">
        <f t="shared" si="85"/>
        <v>O</v>
      </c>
      <c r="V187" s="12" t="str">
        <f t="shared" si="86"/>
        <v>O</v>
      </c>
      <c r="W187" s="12" t="str">
        <f t="shared" si="87"/>
        <v>O</v>
      </c>
      <c r="X187" s="12" t="str">
        <f t="shared" si="88"/>
        <v>O</v>
      </c>
      <c r="Z187" s="12">
        <v>54.5</v>
      </c>
      <c r="AB187" s="12" t="str">
        <f t="shared" si="89"/>
        <v>MEM/DEN</v>
      </c>
      <c r="AC187" s="12">
        <f t="shared" si="90"/>
        <v>4</v>
      </c>
      <c r="AD187" s="12">
        <f t="shared" si="91"/>
        <v>0</v>
      </c>
    </row>
    <row r="188" spans="1:30" ht="17.100000000000001" x14ac:dyDescent="0.45">
      <c r="A188" s="12">
        <v>191118</v>
      </c>
      <c r="B188" s="44">
        <v>0.375</v>
      </c>
      <c r="C188" s="12" t="s">
        <v>231</v>
      </c>
      <c r="D188" s="12" t="s">
        <v>232</v>
      </c>
      <c r="E188" s="12">
        <v>26</v>
      </c>
      <c r="F188" s="12">
        <v>29</v>
      </c>
      <c r="G188" s="12">
        <v>21</v>
      </c>
      <c r="H188" s="12">
        <v>32</v>
      </c>
      <c r="I188" s="12"/>
      <c r="J188" s="12">
        <v>23</v>
      </c>
      <c r="K188" s="12">
        <v>26</v>
      </c>
      <c r="L188" s="12">
        <v>20</v>
      </c>
      <c r="M188" s="12">
        <v>31</v>
      </c>
      <c r="O188" s="12">
        <f t="shared" si="79"/>
        <v>108</v>
      </c>
      <c r="P188" s="12">
        <f t="shared" si="80"/>
        <v>100</v>
      </c>
      <c r="Q188" s="12" t="str">
        <f t="shared" si="81"/>
        <v>HW</v>
      </c>
      <c r="R188" s="12" t="str">
        <f t="shared" si="82"/>
        <v>HW</v>
      </c>
      <c r="S188" s="12" t="str">
        <f t="shared" si="83"/>
        <v>HW</v>
      </c>
      <c r="T188" s="12" t="str">
        <f t="shared" si="84"/>
        <v>HW</v>
      </c>
      <c r="U188" s="12" t="str">
        <f t="shared" si="85"/>
        <v>U</v>
      </c>
      <c r="V188" s="12" t="str">
        <f t="shared" si="86"/>
        <v>U</v>
      </c>
      <c r="W188" s="12" t="str">
        <f t="shared" si="87"/>
        <v>U</v>
      </c>
      <c r="X188" s="12" t="str">
        <f t="shared" si="88"/>
        <v>O</v>
      </c>
      <c r="Z188" s="12">
        <v>58.5</v>
      </c>
      <c r="AB188" s="12" t="str">
        <f t="shared" si="89"/>
        <v>NO/GS</v>
      </c>
      <c r="AC188" s="12">
        <f t="shared" si="90"/>
        <v>1</v>
      </c>
      <c r="AD188" s="12">
        <f t="shared" si="91"/>
        <v>3</v>
      </c>
    </row>
    <row r="189" spans="1:30" ht="17.100000000000001" x14ac:dyDescent="0.45">
      <c r="A189" s="12">
        <v>191118</v>
      </c>
      <c r="B189" s="44">
        <v>0.47916666666666669</v>
      </c>
      <c r="C189" s="12" t="s">
        <v>233</v>
      </c>
      <c r="D189" s="12" t="s">
        <v>234</v>
      </c>
      <c r="E189" s="12">
        <v>36</v>
      </c>
      <c r="F189" s="12">
        <v>33</v>
      </c>
      <c r="G189" s="12">
        <v>27</v>
      </c>
      <c r="H189" s="12">
        <v>26</v>
      </c>
      <c r="I189" s="12"/>
      <c r="J189" s="12">
        <v>24</v>
      </c>
      <c r="K189" s="12">
        <v>17</v>
      </c>
      <c r="L189" s="12">
        <v>36</v>
      </c>
      <c r="M189" s="12">
        <v>24</v>
      </c>
      <c r="O189" s="12">
        <f t="shared" si="79"/>
        <v>122</v>
      </c>
      <c r="P189" s="12">
        <f t="shared" si="80"/>
        <v>101</v>
      </c>
      <c r="Q189" s="12" t="str">
        <f t="shared" si="81"/>
        <v>HW</v>
      </c>
      <c r="R189" s="12" t="str">
        <f t="shared" si="82"/>
        <v>HW</v>
      </c>
      <c r="S189" s="12" t="str">
        <f t="shared" si="83"/>
        <v>HL</v>
      </c>
      <c r="T189" s="12" t="str">
        <f t="shared" si="84"/>
        <v>HW</v>
      </c>
      <c r="U189" s="12" t="str">
        <f t="shared" si="85"/>
        <v>O</v>
      </c>
      <c r="V189" s="12" t="str">
        <f t="shared" si="86"/>
        <v>U</v>
      </c>
      <c r="W189" s="12" t="str">
        <f t="shared" si="87"/>
        <v>O</v>
      </c>
      <c r="X189" s="12" t="str">
        <f t="shared" si="88"/>
        <v>U</v>
      </c>
      <c r="Z189" s="12">
        <v>56.5</v>
      </c>
      <c r="AB189" s="12" t="str">
        <f t="shared" si="89"/>
        <v>LAL/ATL</v>
      </c>
      <c r="AC189" s="12">
        <f t="shared" si="90"/>
        <v>2</v>
      </c>
      <c r="AD189" s="12">
        <f t="shared" si="91"/>
        <v>2</v>
      </c>
    </row>
    <row r="190" spans="1:30" ht="17.100000000000001" x14ac:dyDescent="0.45">
      <c r="A190" s="12">
        <v>191119</v>
      </c>
      <c r="B190" s="44">
        <v>0.375</v>
      </c>
      <c r="C190" s="12" t="s">
        <v>47</v>
      </c>
      <c r="D190" s="12" t="s">
        <v>224</v>
      </c>
      <c r="E190" s="12">
        <v>32</v>
      </c>
      <c r="F190" s="12">
        <v>32</v>
      </c>
      <c r="G190" s="12">
        <v>30</v>
      </c>
      <c r="H190" s="12">
        <v>29</v>
      </c>
      <c r="I190" s="12"/>
      <c r="J190" s="12">
        <v>20</v>
      </c>
      <c r="K190" s="12">
        <v>31</v>
      </c>
      <c r="L190" s="12">
        <v>20</v>
      </c>
      <c r="M190" s="12">
        <v>34</v>
      </c>
      <c r="O190" s="12">
        <f t="shared" si="79"/>
        <v>123</v>
      </c>
      <c r="P190" s="12">
        <f t="shared" si="80"/>
        <v>105</v>
      </c>
      <c r="Q190" s="12" t="str">
        <f t="shared" si="81"/>
        <v>HW</v>
      </c>
      <c r="R190" s="12" t="str">
        <f t="shared" si="82"/>
        <v>HW</v>
      </c>
      <c r="S190" s="12" t="str">
        <f t="shared" si="83"/>
        <v>HW</v>
      </c>
      <c r="T190" s="12" t="str">
        <f t="shared" si="84"/>
        <v>HL</v>
      </c>
      <c r="U190" s="12" t="str">
        <f t="shared" si="85"/>
        <v>T</v>
      </c>
      <c r="V190" s="12" t="str">
        <f t="shared" si="86"/>
        <v>O</v>
      </c>
      <c r="W190" s="12" t="str">
        <f t="shared" si="87"/>
        <v>U</v>
      </c>
      <c r="X190" s="12" t="str">
        <f t="shared" si="88"/>
        <v>O</v>
      </c>
      <c r="Z190" s="12">
        <v>52</v>
      </c>
      <c r="AB190" s="12" t="str">
        <f t="shared" si="89"/>
        <v>NYK/CLE</v>
      </c>
      <c r="AC190" s="12">
        <f t="shared" si="90"/>
        <v>2</v>
      </c>
      <c r="AD190" s="12">
        <f t="shared" si="91"/>
        <v>1</v>
      </c>
    </row>
    <row r="191" spans="1:30" ht="17.100000000000001" x14ac:dyDescent="0.45">
      <c r="A191" s="12">
        <v>191119</v>
      </c>
      <c r="B191" s="44">
        <v>0.39583333333333331</v>
      </c>
      <c r="C191" s="12" t="s">
        <v>235</v>
      </c>
      <c r="D191" s="12" t="s">
        <v>35</v>
      </c>
      <c r="E191" s="12">
        <v>18</v>
      </c>
      <c r="F191" s="12">
        <v>17</v>
      </c>
      <c r="G191" s="12">
        <v>33</v>
      </c>
      <c r="H191" s="12">
        <v>18</v>
      </c>
      <c r="I191" s="12"/>
      <c r="J191" s="12">
        <v>18</v>
      </c>
      <c r="K191" s="12">
        <v>41</v>
      </c>
      <c r="L191" s="12">
        <v>25</v>
      </c>
      <c r="M191" s="12">
        <v>31</v>
      </c>
      <c r="O191" s="12">
        <f t="shared" si="79"/>
        <v>86</v>
      </c>
      <c r="P191" s="12">
        <f t="shared" si="80"/>
        <v>115</v>
      </c>
      <c r="Q191" s="12" t="str">
        <f t="shared" si="81"/>
        <v>TT</v>
      </c>
      <c r="R191" s="12" t="str">
        <f t="shared" si="82"/>
        <v>HL</v>
      </c>
      <c r="S191" s="12" t="str">
        <f t="shared" si="83"/>
        <v>HW</v>
      </c>
      <c r="T191" s="12" t="str">
        <f t="shared" si="84"/>
        <v>HL</v>
      </c>
      <c r="U191" s="12" t="str">
        <f t="shared" si="85"/>
        <v>U</v>
      </c>
      <c r="V191" s="12" t="str">
        <f t="shared" si="86"/>
        <v>O</v>
      </c>
      <c r="W191" s="12" t="str">
        <f t="shared" si="87"/>
        <v>O</v>
      </c>
      <c r="X191" s="12" t="str">
        <f t="shared" si="88"/>
        <v>U</v>
      </c>
      <c r="Z191" s="12">
        <v>55</v>
      </c>
      <c r="AB191" s="12" t="str">
        <f t="shared" si="89"/>
        <v>BKN/IND</v>
      </c>
      <c r="AC191" s="12">
        <f t="shared" si="90"/>
        <v>2</v>
      </c>
      <c r="AD191" s="12">
        <f t="shared" si="91"/>
        <v>2</v>
      </c>
    </row>
    <row r="192" spans="1:30" ht="17.100000000000001" x14ac:dyDescent="0.45">
      <c r="A192" s="12">
        <v>191119</v>
      </c>
      <c r="B192" s="44">
        <v>0.39583333333333331</v>
      </c>
      <c r="C192" s="12" t="s">
        <v>236</v>
      </c>
      <c r="D192" s="12" t="s">
        <v>237</v>
      </c>
      <c r="E192" s="12">
        <v>26</v>
      </c>
      <c r="F192" s="12">
        <v>34</v>
      </c>
      <c r="G192" s="12">
        <v>32</v>
      </c>
      <c r="H192" s="12">
        <v>40</v>
      </c>
      <c r="I192" s="12"/>
      <c r="J192" s="12">
        <v>25</v>
      </c>
      <c r="K192" s="12">
        <v>31</v>
      </c>
      <c r="L192" s="12">
        <v>18</v>
      </c>
      <c r="M192" s="12">
        <v>22</v>
      </c>
      <c r="O192" s="12">
        <f t="shared" si="79"/>
        <v>132</v>
      </c>
      <c r="P192" s="12">
        <f t="shared" si="80"/>
        <v>96</v>
      </c>
      <c r="Q192" s="12" t="str">
        <f t="shared" si="81"/>
        <v>HW</v>
      </c>
      <c r="R192" s="12" t="str">
        <f t="shared" si="82"/>
        <v>HW</v>
      </c>
      <c r="S192" s="12" t="str">
        <f t="shared" si="83"/>
        <v>HW</v>
      </c>
      <c r="T192" s="12" t="str">
        <f t="shared" si="84"/>
        <v>HW</v>
      </c>
      <c r="U192" s="12" t="str">
        <f t="shared" si="85"/>
        <v>U</v>
      </c>
      <c r="V192" s="12" t="str">
        <f t="shared" si="86"/>
        <v>O</v>
      </c>
      <c r="W192" s="12" t="str">
        <f t="shared" si="87"/>
        <v>U</v>
      </c>
      <c r="X192" s="12" t="str">
        <f t="shared" si="88"/>
        <v>O</v>
      </c>
      <c r="Z192" s="12">
        <v>55.5</v>
      </c>
      <c r="AB192" s="12" t="str">
        <f t="shared" si="89"/>
        <v>TOR/CHA</v>
      </c>
      <c r="AC192" s="12">
        <f t="shared" si="90"/>
        <v>2</v>
      </c>
      <c r="AD192" s="12">
        <f t="shared" si="91"/>
        <v>2</v>
      </c>
    </row>
    <row r="193" spans="1:30" ht="17.100000000000001" x14ac:dyDescent="0.45">
      <c r="A193" s="12">
        <v>191119</v>
      </c>
      <c r="B193" s="44">
        <v>0.41666666666666669</v>
      </c>
      <c r="C193" s="12" t="s">
        <v>238</v>
      </c>
      <c r="D193" s="12" t="s">
        <v>239</v>
      </c>
      <c r="E193" s="12">
        <v>26</v>
      </c>
      <c r="F193" s="12">
        <v>30</v>
      </c>
      <c r="G193" s="12">
        <v>25</v>
      </c>
      <c r="H193" s="12">
        <v>20</v>
      </c>
      <c r="I193" s="12"/>
      <c r="J193" s="12">
        <v>29</v>
      </c>
      <c r="K193" s="12">
        <v>31</v>
      </c>
      <c r="L193" s="12">
        <v>24</v>
      </c>
      <c r="M193" s="12">
        <v>31</v>
      </c>
      <c r="O193" s="12">
        <f t="shared" si="79"/>
        <v>101</v>
      </c>
      <c r="P193" s="12">
        <f t="shared" si="80"/>
        <v>115</v>
      </c>
      <c r="Q193" s="12" t="str">
        <f t="shared" si="81"/>
        <v>HL</v>
      </c>
      <c r="R193" s="12" t="str">
        <f t="shared" si="82"/>
        <v>HL</v>
      </c>
      <c r="S193" s="12" t="str">
        <f t="shared" si="83"/>
        <v>HW</v>
      </c>
      <c r="T193" s="12" t="str">
        <f t="shared" si="84"/>
        <v>HL</v>
      </c>
      <c r="U193" s="12" t="str">
        <f t="shared" si="85"/>
        <v>U</v>
      </c>
      <c r="V193" s="12" t="str">
        <f t="shared" si="86"/>
        <v>O</v>
      </c>
      <c r="W193" s="12" t="str">
        <f t="shared" si="87"/>
        <v>U</v>
      </c>
      <c r="X193" s="12" t="str">
        <f t="shared" si="88"/>
        <v>U</v>
      </c>
      <c r="Z193" s="12">
        <v>56</v>
      </c>
      <c r="AB193" s="12" t="str">
        <f t="shared" si="89"/>
        <v>CHI/MIL</v>
      </c>
      <c r="AC193" s="12">
        <f t="shared" si="90"/>
        <v>1</v>
      </c>
      <c r="AD193" s="12">
        <f t="shared" si="91"/>
        <v>3</v>
      </c>
    </row>
    <row r="194" spans="1:30" ht="17.100000000000001" x14ac:dyDescent="0.45">
      <c r="A194" s="12">
        <v>191119</v>
      </c>
      <c r="B194" s="44">
        <v>0.41666666666666669</v>
      </c>
      <c r="C194" s="12" t="s">
        <v>240</v>
      </c>
      <c r="D194" s="12" t="s">
        <v>241</v>
      </c>
      <c r="E194" s="12">
        <v>29</v>
      </c>
      <c r="F194" s="12">
        <v>35</v>
      </c>
      <c r="G194" s="12">
        <v>35</v>
      </c>
      <c r="H194" s="12">
        <v>33</v>
      </c>
      <c r="I194" s="12"/>
      <c r="J194" s="12">
        <v>30</v>
      </c>
      <c r="K194" s="12">
        <v>20</v>
      </c>
      <c r="L194" s="12">
        <v>26</v>
      </c>
      <c r="M194" s="12">
        <v>32</v>
      </c>
      <c r="O194" s="12">
        <f t="shared" si="79"/>
        <v>132</v>
      </c>
      <c r="P194" s="12">
        <f t="shared" si="80"/>
        <v>108</v>
      </c>
      <c r="Q194" s="12" t="str">
        <f t="shared" si="81"/>
        <v>HL</v>
      </c>
      <c r="R194" s="12" t="str">
        <f t="shared" si="82"/>
        <v>HW</v>
      </c>
      <c r="S194" s="12" t="str">
        <f t="shared" si="83"/>
        <v>HW</v>
      </c>
      <c r="T194" s="12" t="str">
        <f t="shared" si="84"/>
        <v>HW</v>
      </c>
      <c r="U194" s="12" t="str">
        <f t="shared" si="85"/>
        <v>O</v>
      </c>
      <c r="V194" s="12" t="str">
        <f t="shared" si="86"/>
        <v>U</v>
      </c>
      <c r="W194" s="12" t="str">
        <f t="shared" si="87"/>
        <v>O</v>
      </c>
      <c r="X194" s="12" t="str">
        <f t="shared" si="88"/>
        <v>O</v>
      </c>
      <c r="Z194" s="12">
        <v>56.5</v>
      </c>
      <c r="AB194" s="12" t="str">
        <f t="shared" si="89"/>
        <v>HOU/POR</v>
      </c>
      <c r="AC194" s="12">
        <f t="shared" si="90"/>
        <v>3</v>
      </c>
      <c r="AD194" s="12">
        <f t="shared" si="91"/>
        <v>1</v>
      </c>
    </row>
    <row r="195" spans="1:30" ht="17.100000000000001" x14ac:dyDescent="0.45">
      <c r="A195" s="12">
        <v>191119</v>
      </c>
      <c r="B195" s="44">
        <v>0.4375</v>
      </c>
      <c r="C195" s="12" t="s">
        <v>33</v>
      </c>
      <c r="D195" s="12" t="s">
        <v>242</v>
      </c>
      <c r="E195" s="12">
        <v>36</v>
      </c>
      <c r="F195" s="12">
        <v>23</v>
      </c>
      <c r="G195" s="12">
        <v>34</v>
      </c>
      <c r="H195" s="12">
        <v>24</v>
      </c>
      <c r="I195" s="12"/>
      <c r="J195" s="12">
        <v>22</v>
      </c>
      <c r="K195" s="12">
        <v>27</v>
      </c>
      <c r="L195" s="12">
        <v>30</v>
      </c>
      <c r="M195" s="12">
        <v>31</v>
      </c>
      <c r="O195" s="12">
        <f t="shared" si="79"/>
        <v>117</v>
      </c>
      <c r="P195" s="12">
        <f t="shared" si="80"/>
        <v>110</v>
      </c>
      <c r="Q195" s="12" t="str">
        <f t="shared" si="81"/>
        <v>HW</v>
      </c>
      <c r="R195" s="12" t="str">
        <f t="shared" si="82"/>
        <v>HL</v>
      </c>
      <c r="S195" s="12" t="str">
        <f t="shared" si="83"/>
        <v>HW</v>
      </c>
      <c r="T195" s="12" t="str">
        <f t="shared" si="84"/>
        <v>HL</v>
      </c>
      <c r="U195" s="12" t="str">
        <f t="shared" si="85"/>
        <v>O</v>
      </c>
      <c r="V195" s="12" t="str">
        <f t="shared" si="86"/>
        <v>U</v>
      </c>
      <c r="W195" s="12" t="str">
        <f t="shared" si="87"/>
        <v>O</v>
      </c>
      <c r="X195" s="12" t="str">
        <f t="shared" si="88"/>
        <v>U</v>
      </c>
      <c r="Z195" s="12">
        <v>55.5</v>
      </c>
      <c r="AB195" s="12" t="str">
        <f t="shared" si="89"/>
        <v>DAL/SAS</v>
      </c>
      <c r="AC195" s="12">
        <f t="shared" si="90"/>
        <v>2</v>
      </c>
      <c r="AD195" s="12">
        <f t="shared" si="91"/>
        <v>2</v>
      </c>
    </row>
    <row r="196" spans="1:30" ht="17.100000000000001" x14ac:dyDescent="0.45">
      <c r="A196" s="12">
        <v>191119</v>
      </c>
      <c r="B196" s="44">
        <v>0.45833333333333331</v>
      </c>
      <c r="C196" s="12" t="s">
        <v>243</v>
      </c>
      <c r="D196" s="12" t="s">
        <v>227</v>
      </c>
      <c r="E196" s="12">
        <v>22</v>
      </c>
      <c r="F196" s="12">
        <v>20</v>
      </c>
      <c r="G196" s="12">
        <v>23</v>
      </c>
      <c r="H196" s="12">
        <v>20</v>
      </c>
      <c r="I196" s="12"/>
      <c r="J196" s="12">
        <v>26</v>
      </c>
      <c r="K196" s="12">
        <v>31</v>
      </c>
      <c r="L196" s="12">
        <v>23</v>
      </c>
      <c r="M196" s="12">
        <v>19</v>
      </c>
      <c r="O196" s="12">
        <f t="shared" si="79"/>
        <v>85</v>
      </c>
      <c r="P196" s="12">
        <f t="shared" si="80"/>
        <v>99</v>
      </c>
      <c r="Q196" s="12" t="str">
        <f t="shared" si="81"/>
        <v>HL</v>
      </c>
      <c r="R196" s="12" t="str">
        <f t="shared" si="82"/>
        <v>HL</v>
      </c>
      <c r="S196" s="12" t="str">
        <f t="shared" si="83"/>
        <v>TT</v>
      </c>
      <c r="T196" s="12" t="str">
        <f t="shared" si="84"/>
        <v>HW</v>
      </c>
      <c r="U196" s="12" t="str">
        <f t="shared" si="85"/>
        <v>U</v>
      </c>
      <c r="V196" s="12" t="str">
        <f t="shared" si="86"/>
        <v>U</v>
      </c>
      <c r="W196" s="12" t="str">
        <f t="shared" si="87"/>
        <v>U</v>
      </c>
      <c r="X196" s="12" t="str">
        <f t="shared" si="88"/>
        <v>U</v>
      </c>
      <c r="Z196" s="12">
        <v>55.5</v>
      </c>
      <c r="AB196" s="12" t="str">
        <f t="shared" si="89"/>
        <v>PHO/BOS</v>
      </c>
      <c r="AC196" s="12">
        <f t="shared" si="90"/>
        <v>0</v>
      </c>
      <c r="AD196" s="12">
        <f t="shared" si="91"/>
        <v>4</v>
      </c>
    </row>
    <row r="197" spans="1:30" ht="17.100000000000001" x14ac:dyDescent="0.45">
      <c r="A197" s="12">
        <v>191119</v>
      </c>
      <c r="B197" s="44">
        <v>0.45833333333333331</v>
      </c>
      <c r="C197" s="12" t="s">
        <v>244</v>
      </c>
      <c r="D197" s="12" t="s">
        <v>245</v>
      </c>
      <c r="E197" s="12">
        <v>32</v>
      </c>
      <c r="F197" s="12">
        <v>24</v>
      </c>
      <c r="G197" s="12">
        <v>22</v>
      </c>
      <c r="H197" s="12">
        <v>24</v>
      </c>
      <c r="I197" s="12"/>
      <c r="J197" s="12">
        <v>36</v>
      </c>
      <c r="K197" s="12">
        <v>23</v>
      </c>
      <c r="L197" s="12">
        <v>17</v>
      </c>
      <c r="M197" s="12">
        <v>36</v>
      </c>
      <c r="O197" s="12">
        <f t="shared" si="79"/>
        <v>102</v>
      </c>
      <c r="P197" s="12">
        <f t="shared" si="80"/>
        <v>112</v>
      </c>
      <c r="Q197" s="12" t="str">
        <f t="shared" si="81"/>
        <v>HL</v>
      </c>
      <c r="R197" s="12" t="str">
        <f t="shared" si="82"/>
        <v>HW</v>
      </c>
      <c r="S197" s="12" t="str">
        <f t="shared" si="83"/>
        <v>HW</v>
      </c>
      <c r="T197" s="12" t="str">
        <f t="shared" si="84"/>
        <v>HL</v>
      </c>
      <c r="U197" s="12" t="str">
        <f t="shared" si="85"/>
        <v>O</v>
      </c>
      <c r="V197" s="12" t="str">
        <f t="shared" si="86"/>
        <v>U</v>
      </c>
      <c r="W197" s="12" t="str">
        <f t="shared" si="87"/>
        <v>U</v>
      </c>
      <c r="X197" s="12" t="str">
        <f t="shared" si="88"/>
        <v>O</v>
      </c>
      <c r="Z197" s="12">
        <v>56</v>
      </c>
      <c r="AB197" s="12" t="str">
        <f t="shared" si="89"/>
        <v>UTA/MIN</v>
      </c>
      <c r="AC197" s="12">
        <f t="shared" si="90"/>
        <v>2</v>
      </c>
      <c r="AD197" s="12">
        <f t="shared" si="91"/>
        <v>2</v>
      </c>
    </row>
    <row r="198" spans="1:30" ht="17.100000000000001" x14ac:dyDescent="0.45">
      <c r="A198" s="12">
        <v>191119</v>
      </c>
      <c r="B198" s="44">
        <v>0.52083333333333337</v>
      </c>
      <c r="C198" s="12" t="s">
        <v>246</v>
      </c>
      <c r="D198" s="12" t="s">
        <v>247</v>
      </c>
      <c r="E198" s="12">
        <v>23</v>
      </c>
      <c r="F198" s="12">
        <v>19</v>
      </c>
      <c r="G198" s="12">
        <v>24</v>
      </c>
      <c r="H198" s="12">
        <v>24</v>
      </c>
      <c r="I198" s="12"/>
      <c r="J198" s="12">
        <v>17</v>
      </c>
      <c r="K198" s="12">
        <v>30</v>
      </c>
      <c r="L198" s="12">
        <v>17</v>
      </c>
      <c r="M198" s="12">
        <v>24</v>
      </c>
      <c r="O198" s="12">
        <f t="shared" si="79"/>
        <v>90</v>
      </c>
      <c r="P198" s="12">
        <f t="shared" si="80"/>
        <v>88</v>
      </c>
      <c r="Q198" s="12" t="str">
        <f t="shared" si="81"/>
        <v>HW</v>
      </c>
      <c r="R198" s="12" t="str">
        <f t="shared" si="82"/>
        <v>HL</v>
      </c>
      <c r="S198" s="12" t="str">
        <f t="shared" si="83"/>
        <v>HW</v>
      </c>
      <c r="T198" s="12" t="str">
        <f t="shared" si="84"/>
        <v>TT</v>
      </c>
      <c r="U198" s="12" t="str">
        <f t="shared" si="85"/>
        <v>U</v>
      </c>
      <c r="V198" s="12" t="str">
        <f t="shared" si="86"/>
        <v>U</v>
      </c>
      <c r="W198" s="12" t="str">
        <f t="shared" si="87"/>
        <v>U</v>
      </c>
      <c r="X198" s="12" t="str">
        <f t="shared" si="88"/>
        <v>U</v>
      </c>
      <c r="Z198" s="12">
        <v>57</v>
      </c>
      <c r="AB198" s="12" t="str">
        <f t="shared" si="89"/>
        <v>LAC/OKC</v>
      </c>
      <c r="AC198" s="12">
        <f t="shared" si="90"/>
        <v>0</v>
      </c>
      <c r="AD198" s="12">
        <f t="shared" si="91"/>
        <v>4</v>
      </c>
    </row>
    <row r="199" spans="1:30" ht="17.100000000000001" x14ac:dyDescent="0.45">
      <c r="A199" s="12">
        <v>191120</v>
      </c>
      <c r="B199" s="44">
        <v>0.41666666666666669</v>
      </c>
      <c r="C199" s="12" t="s">
        <v>231</v>
      </c>
      <c r="D199" s="12" t="s">
        <v>241</v>
      </c>
      <c r="E199" s="12">
        <v>27</v>
      </c>
      <c r="F199" s="12">
        <v>26</v>
      </c>
      <c r="G199" s="12">
        <v>35</v>
      </c>
      <c r="H199" s="12">
        <v>27</v>
      </c>
      <c r="I199" s="12"/>
      <c r="J199" s="12">
        <v>28</v>
      </c>
      <c r="K199" s="12">
        <v>26</v>
      </c>
      <c r="L199" s="12">
        <v>25</v>
      </c>
      <c r="M199" s="12">
        <v>25</v>
      </c>
      <c r="O199" s="12">
        <f t="shared" si="79"/>
        <v>115</v>
      </c>
      <c r="P199" s="12">
        <f t="shared" si="80"/>
        <v>104</v>
      </c>
      <c r="Q199" s="12" t="str">
        <f t="shared" si="81"/>
        <v>HL</v>
      </c>
      <c r="R199" s="12" t="str">
        <f t="shared" si="82"/>
        <v>TT</v>
      </c>
      <c r="S199" s="12" t="str">
        <f t="shared" si="83"/>
        <v>HW</v>
      </c>
      <c r="T199" s="12" t="str">
        <f t="shared" si="84"/>
        <v>HW</v>
      </c>
      <c r="U199" s="12" t="str">
        <f t="shared" si="85"/>
        <v>U</v>
      </c>
      <c r="V199" s="12" t="str">
        <f t="shared" si="86"/>
        <v>U</v>
      </c>
      <c r="W199" s="12" t="str">
        <f t="shared" si="87"/>
        <v>O</v>
      </c>
      <c r="X199" s="12" t="str">
        <f t="shared" si="88"/>
        <v>U</v>
      </c>
      <c r="Z199" s="12">
        <v>56.5</v>
      </c>
      <c r="AB199" s="12" t="str">
        <f t="shared" si="89"/>
        <v>NO/POR</v>
      </c>
      <c r="AC199" s="12">
        <f t="shared" si="90"/>
        <v>1</v>
      </c>
      <c r="AD199" s="12">
        <f t="shared" si="91"/>
        <v>3</v>
      </c>
    </row>
    <row r="200" spans="1:30" ht="17.100000000000001" x14ac:dyDescent="0.45">
      <c r="A200" s="12">
        <v>191120</v>
      </c>
      <c r="B200" s="44">
        <v>0.41666666666666669</v>
      </c>
      <c r="C200" s="12" t="s">
        <v>229</v>
      </c>
      <c r="D200" s="12" t="s">
        <v>232</v>
      </c>
      <c r="E200" s="12">
        <v>30</v>
      </c>
      <c r="F200" s="12">
        <v>16</v>
      </c>
      <c r="G200" s="12">
        <v>26</v>
      </c>
      <c r="H200" s="12">
        <v>23</v>
      </c>
      <c r="I200" s="12"/>
      <c r="J200" s="12">
        <v>28</v>
      </c>
      <c r="K200" s="12">
        <v>33</v>
      </c>
      <c r="L200" s="12">
        <v>22</v>
      </c>
      <c r="M200" s="12">
        <v>31</v>
      </c>
      <c r="O200" s="12">
        <f t="shared" si="79"/>
        <v>95</v>
      </c>
      <c r="P200" s="12">
        <f t="shared" si="80"/>
        <v>114</v>
      </c>
      <c r="Q200" s="12" t="str">
        <f t="shared" si="81"/>
        <v>HW</v>
      </c>
      <c r="R200" s="12" t="str">
        <f t="shared" si="82"/>
        <v>HL</v>
      </c>
      <c r="S200" s="12" t="str">
        <f t="shared" si="83"/>
        <v>HW</v>
      </c>
      <c r="T200" s="12" t="str">
        <f t="shared" si="84"/>
        <v>HL</v>
      </c>
      <c r="U200" s="12" t="str">
        <f t="shared" si="85"/>
        <v>O</v>
      </c>
      <c r="V200" s="12" t="str">
        <f t="shared" si="86"/>
        <v>U</v>
      </c>
      <c r="W200" s="12" t="str">
        <f t="shared" si="87"/>
        <v>U</v>
      </c>
      <c r="X200" s="12" t="str">
        <f t="shared" si="88"/>
        <v>U</v>
      </c>
      <c r="Z200" s="12">
        <v>57</v>
      </c>
      <c r="AB200" s="12" t="str">
        <f t="shared" si="89"/>
        <v>MEM/GS</v>
      </c>
      <c r="AC200" s="12">
        <f t="shared" si="90"/>
        <v>1</v>
      </c>
      <c r="AD200" s="12">
        <f t="shared" si="91"/>
        <v>3</v>
      </c>
    </row>
    <row r="201" spans="1:30" ht="17.100000000000001" x14ac:dyDescent="0.45">
      <c r="A201" s="12">
        <v>191120</v>
      </c>
      <c r="B201" s="44">
        <v>0.5</v>
      </c>
      <c r="C201" s="12" t="s">
        <v>226</v>
      </c>
      <c r="D201" s="12" t="s">
        <v>243</v>
      </c>
      <c r="E201" s="12">
        <v>33</v>
      </c>
      <c r="F201" s="12">
        <v>29</v>
      </c>
      <c r="G201" s="12">
        <v>25</v>
      </c>
      <c r="H201" s="12">
        <v>33</v>
      </c>
      <c r="I201" s="12"/>
      <c r="J201" s="12">
        <v>19</v>
      </c>
      <c r="K201" s="12">
        <v>26</v>
      </c>
      <c r="L201" s="12">
        <v>30</v>
      </c>
      <c r="M201" s="12">
        <v>41</v>
      </c>
      <c r="O201" s="12">
        <f t="shared" si="79"/>
        <v>120</v>
      </c>
      <c r="P201" s="12">
        <f t="shared" si="80"/>
        <v>116</v>
      </c>
      <c r="Q201" s="12" t="str">
        <f t="shared" si="81"/>
        <v>HW</v>
      </c>
      <c r="R201" s="12" t="str">
        <f t="shared" si="82"/>
        <v>HW</v>
      </c>
      <c r="S201" s="12" t="str">
        <f t="shared" si="83"/>
        <v>HL</v>
      </c>
      <c r="T201" s="12" t="str">
        <f t="shared" si="84"/>
        <v>HL</v>
      </c>
      <c r="U201" s="12" t="str">
        <f t="shared" si="85"/>
        <v>U</v>
      </c>
      <c r="V201" s="12" t="str">
        <f t="shared" si="86"/>
        <v>O</v>
      </c>
      <c r="W201" s="12" t="str">
        <f t="shared" si="87"/>
        <v>O</v>
      </c>
      <c r="X201" s="12" t="str">
        <f t="shared" si="88"/>
        <v>O</v>
      </c>
      <c r="Z201" s="12">
        <v>53.5</v>
      </c>
      <c r="AB201" s="12" t="str">
        <f t="shared" si="89"/>
        <v>SAC/PHO</v>
      </c>
      <c r="AC201" s="12">
        <f t="shared" si="90"/>
        <v>3</v>
      </c>
      <c r="AD201" s="12">
        <f t="shared" si="91"/>
        <v>1</v>
      </c>
    </row>
    <row r="202" spans="1:30" ht="17.100000000000001" x14ac:dyDescent="0.45">
      <c r="A202" s="12">
        <v>191120</v>
      </c>
      <c r="B202" s="44">
        <v>0.52083333333333337</v>
      </c>
      <c r="C202" s="12" t="s">
        <v>233</v>
      </c>
      <c r="D202" s="12" t="s">
        <v>247</v>
      </c>
      <c r="E202" s="12">
        <v>33</v>
      </c>
      <c r="F202" s="12">
        <v>30</v>
      </c>
      <c r="G202" s="12">
        <v>30</v>
      </c>
      <c r="H202" s="12">
        <v>19</v>
      </c>
      <c r="I202" s="12"/>
      <c r="J202" s="12">
        <v>28</v>
      </c>
      <c r="K202" s="12">
        <v>25</v>
      </c>
      <c r="L202" s="12">
        <v>34</v>
      </c>
      <c r="M202" s="12">
        <v>20</v>
      </c>
      <c r="O202" s="12">
        <f t="shared" si="79"/>
        <v>112</v>
      </c>
      <c r="P202" s="12">
        <f t="shared" si="80"/>
        <v>107</v>
      </c>
      <c r="Q202" s="12" t="str">
        <f t="shared" si="81"/>
        <v>HW</v>
      </c>
      <c r="R202" s="12" t="str">
        <f t="shared" si="82"/>
        <v>HW</v>
      </c>
      <c r="S202" s="12" t="str">
        <f t="shared" si="83"/>
        <v>HL</v>
      </c>
      <c r="T202" s="12" t="str">
        <f t="shared" si="84"/>
        <v>HL</v>
      </c>
      <c r="U202" s="12" t="str">
        <f t="shared" ref="U202:X203" si="92">IF(SUM(E202,J202)=$Z202,"T",IF(SUM(E202,J202)&gt;$Z202,"O","U"))</f>
        <v>O</v>
      </c>
      <c r="V202" s="12" t="str">
        <f t="shared" si="92"/>
        <v>O</v>
      </c>
      <c r="W202" s="12" t="str">
        <f t="shared" si="92"/>
        <v>O</v>
      </c>
      <c r="X202" s="12" t="str">
        <f t="shared" si="92"/>
        <v>U</v>
      </c>
      <c r="Z202" s="12">
        <v>54</v>
      </c>
      <c r="AB202" s="12" t="str">
        <f t="shared" si="89"/>
        <v>LAL/OKC</v>
      </c>
      <c r="AC202" s="12">
        <f t="shared" si="90"/>
        <v>3</v>
      </c>
      <c r="AD202" s="12">
        <f t="shared" si="91"/>
        <v>1</v>
      </c>
    </row>
    <row r="203" spans="1:30" ht="17.100000000000001" x14ac:dyDescent="0.45">
      <c r="A203" s="12">
        <v>191121</v>
      </c>
      <c r="B203" s="44">
        <v>0.375</v>
      </c>
      <c r="C203" s="12" t="s">
        <v>225</v>
      </c>
      <c r="D203" s="12" t="s">
        <v>248</v>
      </c>
      <c r="E203" s="12">
        <v>27</v>
      </c>
      <c r="F203" s="12">
        <v>26</v>
      </c>
      <c r="G203" s="12">
        <v>21</v>
      </c>
      <c r="H203" s="12">
        <v>35</v>
      </c>
      <c r="I203" s="12"/>
      <c r="J203" s="12">
        <v>25</v>
      </c>
      <c r="K203" s="12">
        <v>26</v>
      </c>
      <c r="L203" s="12">
        <v>28</v>
      </c>
      <c r="M203" s="12">
        <v>25</v>
      </c>
      <c r="O203" s="12">
        <f t="shared" ref="O203:O213" si="93">SUM(E203:I203)</f>
        <v>109</v>
      </c>
      <c r="P203" s="12">
        <f t="shared" ref="P203:P213" si="94">SUM(J203:N203)</f>
        <v>104</v>
      </c>
      <c r="Q203" s="12" t="str">
        <f t="shared" ref="Q203:Q213" si="95">IF(E203=J203,"TT",IF(E203&gt;J203,"HW","HL"))</f>
        <v>HW</v>
      </c>
      <c r="R203" s="12" t="str">
        <f t="shared" ref="R203:R213" si="96">IF(F203=K203,"TT",IF(F203&gt;K203,"HW","HL"))</f>
        <v>TT</v>
      </c>
      <c r="S203" s="12" t="str">
        <f t="shared" ref="S203:S213" si="97">IF(G203=L203,"TT",IF(G203&gt;L203,"HW","HL"))</f>
        <v>HL</v>
      </c>
      <c r="T203" s="12" t="str">
        <f t="shared" ref="T203:T213" si="98">IF(H203=M203,"TT",IF(H203&gt;M203,"HW","HL"))</f>
        <v>HW</v>
      </c>
      <c r="U203" s="12" t="str">
        <f t="shared" si="92"/>
        <v>U</v>
      </c>
      <c r="V203" s="12" t="str">
        <f t="shared" si="92"/>
        <v>U</v>
      </c>
      <c r="W203" s="12" t="str">
        <f t="shared" si="92"/>
        <v>U</v>
      </c>
      <c r="X203" s="12" t="str">
        <f t="shared" si="92"/>
        <v>O</v>
      </c>
      <c r="Z203" s="3">
        <v>54.5</v>
      </c>
      <c r="AB203" s="12" t="str">
        <f t="shared" si="89"/>
        <v>PHI/NYK</v>
      </c>
      <c r="AC203" s="12">
        <f t="shared" ref="AC203:AC213" si="99">COUNTIF(U203:X203,"o")</f>
        <v>1</v>
      </c>
      <c r="AD203" s="12">
        <f t="shared" ref="AD203:AD213" si="100">COUNTIF(U203:X203,"u")</f>
        <v>3</v>
      </c>
    </row>
    <row r="204" spans="1:30" ht="17.100000000000001" x14ac:dyDescent="0.45">
      <c r="A204" s="12">
        <v>191121</v>
      </c>
      <c r="B204" s="44">
        <v>0.375</v>
      </c>
      <c r="C204" s="12" t="s">
        <v>249</v>
      </c>
      <c r="D204" s="12" t="s">
        <v>242</v>
      </c>
      <c r="E204" s="12">
        <v>35</v>
      </c>
      <c r="F204" s="12">
        <v>28</v>
      </c>
      <c r="G204" s="12">
        <v>38</v>
      </c>
      <c r="H204" s="12">
        <v>37</v>
      </c>
      <c r="I204" s="12"/>
      <c r="J204" s="12">
        <v>38</v>
      </c>
      <c r="K204" s="12">
        <v>31</v>
      </c>
      <c r="L204" s="12">
        <v>29</v>
      </c>
      <c r="M204" s="12">
        <v>34</v>
      </c>
      <c r="O204" s="12">
        <f t="shared" si="93"/>
        <v>138</v>
      </c>
      <c r="P204" s="12">
        <f t="shared" si="94"/>
        <v>132</v>
      </c>
      <c r="Q204" s="12" t="str">
        <f t="shared" si="95"/>
        <v>HL</v>
      </c>
      <c r="R204" s="12" t="str">
        <f t="shared" si="96"/>
        <v>HL</v>
      </c>
      <c r="S204" s="12" t="str">
        <f t="shared" si="97"/>
        <v>HW</v>
      </c>
      <c r="T204" s="12" t="str">
        <f t="shared" si="98"/>
        <v>HW</v>
      </c>
      <c r="U204" s="12" t="str">
        <f t="shared" ref="U204:U213" si="101">IF(SUM(E204,J204)=$Z204,"T",IF(SUM(E204,J204)&gt;$Z204,"O","U"))</f>
        <v>O</v>
      </c>
      <c r="V204" s="12" t="str">
        <f t="shared" ref="V204:V213" si="102">IF(SUM(F204,K204)=$Z204,"T",IF(SUM(F204,K204)&gt;$Z204,"O","U"))</f>
        <v>O</v>
      </c>
      <c r="W204" s="12" t="str">
        <f t="shared" ref="W204:W213" si="103">IF(SUM(G204,L204)=$Z204,"T",IF(SUM(G204,L204)&gt;$Z204,"O","U"))</f>
        <v>O</v>
      </c>
      <c r="X204" s="12" t="str">
        <f t="shared" ref="X204:X213" si="104">IF(SUM(H204,M204)=$Z204,"T",IF(SUM(H204,M204)&gt;$Z204,"O","U"))</f>
        <v>O</v>
      </c>
      <c r="Z204" s="3">
        <v>58</v>
      </c>
      <c r="AB204" s="12" t="str">
        <f t="shared" si="89"/>
        <v>WAS/SAS</v>
      </c>
      <c r="AC204" s="12">
        <f t="shared" si="99"/>
        <v>4</v>
      </c>
      <c r="AD204" s="12">
        <f t="shared" si="100"/>
        <v>0</v>
      </c>
    </row>
    <row r="205" spans="1:30" ht="17.100000000000001" x14ac:dyDescent="0.45">
      <c r="A205" s="12">
        <v>191121</v>
      </c>
      <c r="B205" s="44">
        <v>0.39583333333333331</v>
      </c>
      <c r="C205" s="12" t="s">
        <v>234</v>
      </c>
      <c r="D205" s="12" t="s">
        <v>239</v>
      </c>
      <c r="E205" s="12">
        <v>26</v>
      </c>
      <c r="F205" s="12">
        <v>35</v>
      </c>
      <c r="G205" s="12">
        <v>22</v>
      </c>
      <c r="H205" s="12">
        <v>44</v>
      </c>
      <c r="I205" s="12"/>
      <c r="J205" s="12">
        <v>34</v>
      </c>
      <c r="K205" s="12">
        <v>24</v>
      </c>
      <c r="L205" s="12">
        <v>38</v>
      </c>
      <c r="M205" s="12">
        <v>39</v>
      </c>
      <c r="O205" s="12">
        <f t="shared" si="93"/>
        <v>127</v>
      </c>
      <c r="P205" s="12">
        <f t="shared" si="94"/>
        <v>135</v>
      </c>
      <c r="Q205" s="12" t="str">
        <f t="shared" si="95"/>
        <v>HL</v>
      </c>
      <c r="R205" s="12" t="str">
        <f t="shared" si="96"/>
        <v>HW</v>
      </c>
      <c r="S205" s="12" t="str">
        <f t="shared" si="97"/>
        <v>HL</v>
      </c>
      <c r="T205" s="12" t="str">
        <f t="shared" si="98"/>
        <v>HW</v>
      </c>
      <c r="U205" s="12" t="str">
        <f t="shared" si="101"/>
        <v>O</v>
      </c>
      <c r="V205" s="12" t="str">
        <f t="shared" si="102"/>
        <v>O</v>
      </c>
      <c r="W205" s="12" t="str">
        <f t="shared" si="103"/>
        <v>O</v>
      </c>
      <c r="X205" s="12" t="str">
        <f t="shared" si="104"/>
        <v>O</v>
      </c>
      <c r="Z205" s="3">
        <v>57</v>
      </c>
      <c r="AB205" s="12" t="str">
        <f t="shared" si="89"/>
        <v>ATL/MIL</v>
      </c>
      <c r="AC205" s="12">
        <f t="shared" si="99"/>
        <v>4</v>
      </c>
      <c r="AD205" s="12">
        <f t="shared" si="100"/>
        <v>0</v>
      </c>
    </row>
    <row r="206" spans="1:30" ht="17.100000000000001" x14ac:dyDescent="0.45">
      <c r="A206" s="12">
        <v>191121</v>
      </c>
      <c r="B206" s="44">
        <v>0.39583333333333331</v>
      </c>
      <c r="C206" s="12" t="s">
        <v>250</v>
      </c>
      <c r="D206" s="12" t="s">
        <v>232</v>
      </c>
      <c r="E206" s="12">
        <v>44</v>
      </c>
      <c r="F206" s="12">
        <v>30</v>
      </c>
      <c r="G206" s="12">
        <v>30</v>
      </c>
      <c r="H206" s="12">
        <v>38</v>
      </c>
      <c r="I206" s="12"/>
      <c r="J206" s="12">
        <v>16</v>
      </c>
      <c r="K206" s="12">
        <v>22</v>
      </c>
      <c r="L206" s="12">
        <v>26</v>
      </c>
      <c r="M206" s="12">
        <v>30</v>
      </c>
      <c r="O206" s="12">
        <f t="shared" si="93"/>
        <v>142</v>
      </c>
      <c r="P206" s="12">
        <f t="shared" si="94"/>
        <v>94</v>
      </c>
      <c r="Q206" s="12" t="str">
        <f t="shared" si="95"/>
        <v>HW</v>
      </c>
      <c r="R206" s="12" t="str">
        <f t="shared" si="96"/>
        <v>HW</v>
      </c>
      <c r="S206" s="12" t="str">
        <f t="shared" si="97"/>
        <v>HW</v>
      </c>
      <c r="T206" s="12" t="str">
        <f t="shared" si="98"/>
        <v>HW</v>
      </c>
      <c r="U206" s="12" t="str">
        <f t="shared" si="101"/>
        <v>O</v>
      </c>
      <c r="V206" s="12" t="str">
        <f t="shared" si="102"/>
        <v>U</v>
      </c>
      <c r="W206" s="12" t="str">
        <f t="shared" si="103"/>
        <v>T</v>
      </c>
      <c r="X206" s="12" t="str">
        <f t="shared" si="104"/>
        <v>O</v>
      </c>
      <c r="Z206" s="3">
        <v>56</v>
      </c>
      <c r="AB206" s="12" t="str">
        <f t="shared" si="89"/>
        <v>DAL/GS</v>
      </c>
      <c r="AC206" s="12">
        <f t="shared" si="99"/>
        <v>2</v>
      </c>
      <c r="AD206" s="12">
        <f t="shared" si="100"/>
        <v>1</v>
      </c>
    </row>
    <row r="207" spans="1:30" ht="17.100000000000001" x14ac:dyDescent="0.45">
      <c r="A207" s="12">
        <v>191121</v>
      </c>
      <c r="B207" s="44">
        <v>0.39583333333333331</v>
      </c>
      <c r="C207" s="11" t="s">
        <v>251</v>
      </c>
      <c r="D207" s="11" t="s">
        <v>224</v>
      </c>
      <c r="E207" s="12">
        <v>32</v>
      </c>
      <c r="F207" s="12">
        <v>43</v>
      </c>
      <c r="G207" s="12">
        <v>24</v>
      </c>
      <c r="H207" s="12">
        <v>25</v>
      </c>
      <c r="I207" s="12"/>
      <c r="J207" s="12">
        <v>22</v>
      </c>
      <c r="K207" s="12">
        <v>26</v>
      </c>
      <c r="L207" s="12">
        <v>29</v>
      </c>
      <c r="M207" s="12">
        <v>23</v>
      </c>
      <c r="O207" s="12">
        <f t="shared" si="93"/>
        <v>124</v>
      </c>
      <c r="P207" s="12">
        <f t="shared" si="94"/>
        <v>100</v>
      </c>
      <c r="Q207" s="12" t="str">
        <f t="shared" si="95"/>
        <v>HW</v>
      </c>
      <c r="R207" s="12" t="str">
        <f t="shared" si="96"/>
        <v>HW</v>
      </c>
      <c r="S207" s="12" t="str">
        <f t="shared" si="97"/>
        <v>HL</v>
      </c>
      <c r="T207" s="12" t="str">
        <f t="shared" si="98"/>
        <v>HW</v>
      </c>
      <c r="U207" s="12" t="str">
        <f t="shared" si="101"/>
        <v>O</v>
      </c>
      <c r="V207" s="12" t="str">
        <f t="shared" si="102"/>
        <v>O</v>
      </c>
      <c r="W207" s="12" t="str">
        <f t="shared" si="103"/>
        <v>O</v>
      </c>
      <c r="X207" s="12" t="str">
        <f t="shared" si="104"/>
        <v>U</v>
      </c>
      <c r="Z207" s="3">
        <v>52.5</v>
      </c>
      <c r="AB207" s="12" t="str">
        <f t="shared" si="89"/>
        <v>MIA/CLE</v>
      </c>
      <c r="AC207" s="12">
        <f t="shared" si="99"/>
        <v>3</v>
      </c>
      <c r="AD207" s="12">
        <f t="shared" si="100"/>
        <v>1</v>
      </c>
    </row>
    <row r="208" spans="1:30" ht="17.100000000000001" x14ac:dyDescent="0.45">
      <c r="A208" s="12">
        <v>191121</v>
      </c>
      <c r="B208" s="44">
        <v>0.39583333333333331</v>
      </c>
      <c r="C208" s="12" t="s">
        <v>235</v>
      </c>
      <c r="D208" s="11" t="s">
        <v>237</v>
      </c>
      <c r="E208" s="12">
        <v>26</v>
      </c>
      <c r="F208" s="12">
        <v>30</v>
      </c>
      <c r="G208" s="12">
        <v>26</v>
      </c>
      <c r="H208" s="12">
        <v>19</v>
      </c>
      <c r="I208" s="12"/>
      <c r="J208" s="12">
        <v>26</v>
      </c>
      <c r="K208" s="12">
        <v>25</v>
      </c>
      <c r="L208" s="12">
        <v>22</v>
      </c>
      <c r="M208" s="12">
        <v>18</v>
      </c>
      <c r="O208" s="12">
        <f t="shared" si="93"/>
        <v>101</v>
      </c>
      <c r="P208" s="12">
        <f t="shared" si="94"/>
        <v>91</v>
      </c>
      <c r="Q208" s="12" t="str">
        <f t="shared" si="95"/>
        <v>TT</v>
      </c>
      <c r="R208" s="12" t="str">
        <f t="shared" si="96"/>
        <v>HW</v>
      </c>
      <c r="S208" s="12" t="str">
        <f t="shared" si="97"/>
        <v>HW</v>
      </c>
      <c r="T208" s="12" t="str">
        <f t="shared" si="98"/>
        <v>HW</v>
      </c>
      <c r="U208" s="12" t="str">
        <f t="shared" si="101"/>
        <v>U</v>
      </c>
      <c r="V208" s="12" t="str">
        <f t="shared" si="102"/>
        <v>U</v>
      </c>
      <c r="W208" s="12" t="str">
        <f t="shared" si="103"/>
        <v>U</v>
      </c>
      <c r="X208" s="12" t="str">
        <f t="shared" si="104"/>
        <v>U</v>
      </c>
      <c r="Z208" s="3">
        <v>56</v>
      </c>
      <c r="AB208" s="12" t="str">
        <f t="shared" si="89"/>
        <v>BKN/CHA</v>
      </c>
      <c r="AC208" s="12">
        <f t="shared" si="99"/>
        <v>0</v>
      </c>
      <c r="AD208" s="12">
        <f t="shared" si="100"/>
        <v>4</v>
      </c>
    </row>
    <row r="209" spans="1:30" ht="17.100000000000001" x14ac:dyDescent="0.45">
      <c r="A209" s="12">
        <v>191121</v>
      </c>
      <c r="B209" s="44">
        <v>0.39583333333333331</v>
      </c>
      <c r="C209" s="12" t="s">
        <v>236</v>
      </c>
      <c r="D209" s="12" t="s">
        <v>228</v>
      </c>
      <c r="E209" s="12">
        <v>32</v>
      </c>
      <c r="F209" s="12">
        <v>29</v>
      </c>
      <c r="G209" s="12">
        <v>18</v>
      </c>
      <c r="H209" s="12">
        <v>34</v>
      </c>
      <c r="I209" s="12"/>
      <c r="J209" s="12">
        <v>32</v>
      </c>
      <c r="K209" s="12">
        <v>19</v>
      </c>
      <c r="L209" s="12">
        <v>17</v>
      </c>
      <c r="M209" s="12">
        <v>29</v>
      </c>
      <c r="O209" s="12">
        <f t="shared" si="93"/>
        <v>113</v>
      </c>
      <c r="P209" s="12">
        <f t="shared" si="94"/>
        <v>97</v>
      </c>
      <c r="Q209" s="12" t="str">
        <f t="shared" si="95"/>
        <v>TT</v>
      </c>
      <c r="R209" s="12" t="str">
        <f t="shared" si="96"/>
        <v>HW</v>
      </c>
      <c r="S209" s="12" t="str">
        <f t="shared" si="97"/>
        <v>HW</v>
      </c>
      <c r="T209" s="12" t="str">
        <f t="shared" si="98"/>
        <v>HW</v>
      </c>
      <c r="U209" s="12" t="str">
        <f t="shared" si="101"/>
        <v>O</v>
      </c>
      <c r="V209" s="12" t="str">
        <f t="shared" si="102"/>
        <v>U</v>
      </c>
      <c r="W209" s="12" t="str">
        <f t="shared" si="103"/>
        <v>U</v>
      </c>
      <c r="X209" s="12" t="str">
        <f t="shared" si="104"/>
        <v>O</v>
      </c>
      <c r="Z209" s="3">
        <v>53.5</v>
      </c>
      <c r="AB209" s="12" t="str">
        <f t="shared" si="89"/>
        <v>TOR/ORL</v>
      </c>
      <c r="AC209" s="12">
        <f t="shared" si="99"/>
        <v>2</v>
      </c>
      <c r="AD209" s="12">
        <f t="shared" si="100"/>
        <v>2</v>
      </c>
    </row>
    <row r="210" spans="1:30" ht="17.100000000000001" x14ac:dyDescent="0.45">
      <c r="A210" s="12">
        <v>191121</v>
      </c>
      <c r="B210" s="44">
        <v>0.41666666666666669</v>
      </c>
      <c r="C210" s="11" t="s">
        <v>238</v>
      </c>
      <c r="D210" s="12" t="s">
        <v>252</v>
      </c>
      <c r="E210" s="12">
        <v>30</v>
      </c>
      <c r="F210" s="12">
        <v>29</v>
      </c>
      <c r="G210" s="12">
        <v>25</v>
      </c>
      <c r="H210" s="12">
        <v>25</v>
      </c>
      <c r="I210" s="12"/>
      <c r="J210" s="12">
        <v>30</v>
      </c>
      <c r="K210" s="12">
        <v>25</v>
      </c>
      <c r="L210" s="12">
        <v>16</v>
      </c>
      <c r="M210" s="12">
        <v>18</v>
      </c>
      <c r="O210" s="12">
        <f t="shared" si="93"/>
        <v>109</v>
      </c>
      <c r="P210" s="12">
        <f t="shared" si="94"/>
        <v>89</v>
      </c>
      <c r="Q210" s="12" t="str">
        <f t="shared" si="95"/>
        <v>TT</v>
      </c>
      <c r="R210" s="12" t="str">
        <f t="shared" si="96"/>
        <v>HW</v>
      </c>
      <c r="S210" s="12" t="str">
        <f t="shared" si="97"/>
        <v>HW</v>
      </c>
      <c r="T210" s="12" t="str">
        <f t="shared" si="98"/>
        <v>HW</v>
      </c>
      <c r="U210" s="12" t="str">
        <f t="shared" si="101"/>
        <v>O</v>
      </c>
      <c r="V210" s="12" t="str">
        <f t="shared" si="102"/>
        <v>U</v>
      </c>
      <c r="W210" s="12" t="str">
        <f t="shared" si="103"/>
        <v>U</v>
      </c>
      <c r="X210" s="12" t="str">
        <f t="shared" si="104"/>
        <v>U</v>
      </c>
      <c r="Z210" s="3">
        <v>56.5</v>
      </c>
      <c r="AB210" s="12" t="str">
        <f t="shared" si="89"/>
        <v>CHI/DET</v>
      </c>
      <c r="AC210" s="12">
        <f t="shared" si="99"/>
        <v>1</v>
      </c>
      <c r="AD210" s="12">
        <f t="shared" si="100"/>
        <v>3</v>
      </c>
    </row>
    <row r="211" spans="1:30" ht="17.100000000000001" x14ac:dyDescent="0.45">
      <c r="A211" s="12">
        <v>191121</v>
      </c>
      <c r="B211" s="44">
        <v>0.41666666666666669</v>
      </c>
      <c r="C211" s="12" t="s">
        <v>245</v>
      </c>
      <c r="D211" s="11" t="s">
        <v>48</v>
      </c>
      <c r="E211" s="12">
        <v>19</v>
      </c>
      <c r="F211" s="12">
        <v>27</v>
      </c>
      <c r="G211" s="12">
        <v>22</v>
      </c>
      <c r="H211" s="12">
        <v>27</v>
      </c>
      <c r="I211" s="12"/>
      <c r="J211" s="12">
        <v>26</v>
      </c>
      <c r="K211" s="12">
        <v>22</v>
      </c>
      <c r="L211" s="12">
        <v>25</v>
      </c>
      <c r="M211" s="12">
        <v>30</v>
      </c>
      <c r="O211" s="12">
        <f t="shared" si="93"/>
        <v>95</v>
      </c>
      <c r="P211" s="12">
        <f t="shared" si="94"/>
        <v>103</v>
      </c>
      <c r="Q211" s="12" t="str">
        <f t="shared" si="95"/>
        <v>HL</v>
      </c>
      <c r="R211" s="12" t="str">
        <f t="shared" si="96"/>
        <v>HW</v>
      </c>
      <c r="S211" s="12" t="str">
        <f t="shared" si="97"/>
        <v>HL</v>
      </c>
      <c r="T211" s="12" t="str">
        <f t="shared" si="98"/>
        <v>HL</v>
      </c>
      <c r="U211" s="12" t="str">
        <f t="shared" si="101"/>
        <v>U</v>
      </c>
      <c r="V211" s="12" t="str">
        <f t="shared" si="102"/>
        <v>U</v>
      </c>
      <c r="W211" s="12" t="str">
        <f t="shared" si="103"/>
        <v>U</v>
      </c>
      <c r="X211" s="12" t="str">
        <f t="shared" si="104"/>
        <v>O</v>
      </c>
      <c r="Z211" s="3">
        <v>54</v>
      </c>
      <c r="AB211" s="12" t="str">
        <f t="shared" si="89"/>
        <v>MIN/UTA</v>
      </c>
      <c r="AC211" s="12">
        <f t="shared" si="99"/>
        <v>1</v>
      </c>
      <c r="AD211" s="12">
        <f t="shared" si="100"/>
        <v>3</v>
      </c>
    </row>
    <row r="212" spans="1:30" ht="17.100000000000001" x14ac:dyDescent="0.45">
      <c r="A212" s="12">
        <v>191121</v>
      </c>
      <c r="B212" s="44">
        <v>0.45833333333333331</v>
      </c>
      <c r="C212" s="11" t="s">
        <v>230</v>
      </c>
      <c r="D212" s="11" t="s">
        <v>240</v>
      </c>
      <c r="E212" s="12">
        <v>27</v>
      </c>
      <c r="F212" s="12">
        <v>27</v>
      </c>
      <c r="G212" s="12">
        <v>28</v>
      </c>
      <c r="H212" s="12">
        <v>23</v>
      </c>
      <c r="I212" s="12"/>
      <c r="J212" s="12">
        <v>22</v>
      </c>
      <c r="K212" s="12">
        <v>29</v>
      </c>
      <c r="L212" s="12">
        <v>22</v>
      </c>
      <c r="M212" s="12">
        <v>22</v>
      </c>
      <c r="O212" s="12">
        <f t="shared" si="93"/>
        <v>105</v>
      </c>
      <c r="P212" s="12">
        <f t="shared" si="94"/>
        <v>95</v>
      </c>
      <c r="Q212" s="12" t="str">
        <f t="shared" si="95"/>
        <v>HW</v>
      </c>
      <c r="R212" s="12" t="str">
        <f t="shared" si="96"/>
        <v>HL</v>
      </c>
      <c r="S212" s="12" t="str">
        <f t="shared" si="97"/>
        <v>HW</v>
      </c>
      <c r="T212" s="12" t="str">
        <f t="shared" si="98"/>
        <v>HW</v>
      </c>
      <c r="U212" s="12" t="str">
        <f t="shared" si="101"/>
        <v>U</v>
      </c>
      <c r="V212" s="12" t="str">
        <f t="shared" si="102"/>
        <v>U</v>
      </c>
      <c r="W212" s="12" t="str">
        <f t="shared" si="103"/>
        <v>U</v>
      </c>
      <c r="X212" s="12" t="str">
        <f t="shared" si="104"/>
        <v>U</v>
      </c>
      <c r="Z212" s="3">
        <v>57</v>
      </c>
      <c r="AB212" s="12" t="str">
        <f t="shared" si="89"/>
        <v>DEN/HOU</v>
      </c>
      <c r="AC212" s="12">
        <f t="shared" si="99"/>
        <v>0</v>
      </c>
      <c r="AD212" s="12">
        <f t="shared" si="100"/>
        <v>4</v>
      </c>
    </row>
    <row r="213" spans="1:30" ht="17.100000000000001" x14ac:dyDescent="0.45">
      <c r="A213" s="12">
        <v>191121</v>
      </c>
      <c r="B213" s="44">
        <v>0.5</v>
      </c>
      <c r="C213" s="12" t="s">
        <v>246</v>
      </c>
      <c r="D213" s="12" t="s">
        <v>227</v>
      </c>
      <c r="E213" s="12">
        <v>22</v>
      </c>
      <c r="F213" s="12">
        <v>18</v>
      </c>
      <c r="G213" s="12">
        <v>29</v>
      </c>
      <c r="H213" s="12">
        <v>28</v>
      </c>
      <c r="I213" s="12">
        <v>10</v>
      </c>
      <c r="J213" s="12">
        <v>21</v>
      </c>
      <c r="K213" s="12">
        <v>21</v>
      </c>
      <c r="L213" s="12">
        <v>33</v>
      </c>
      <c r="M213" s="12">
        <v>22</v>
      </c>
      <c r="N213" s="12">
        <v>7</v>
      </c>
      <c r="O213" s="12">
        <f t="shared" si="93"/>
        <v>107</v>
      </c>
      <c r="P213" s="12">
        <f t="shared" si="94"/>
        <v>104</v>
      </c>
      <c r="Q213" s="12" t="str">
        <f t="shared" si="95"/>
        <v>HW</v>
      </c>
      <c r="R213" s="12" t="str">
        <f t="shared" si="96"/>
        <v>HL</v>
      </c>
      <c r="S213" s="12" t="str">
        <f t="shared" si="97"/>
        <v>HL</v>
      </c>
      <c r="T213" s="12" t="str">
        <f t="shared" si="98"/>
        <v>HW</v>
      </c>
      <c r="U213" s="12" t="str">
        <f t="shared" si="101"/>
        <v>U</v>
      </c>
      <c r="V213" s="12" t="str">
        <f t="shared" si="102"/>
        <v>U</v>
      </c>
      <c r="W213" s="12" t="str">
        <f t="shared" si="103"/>
        <v>O</v>
      </c>
      <c r="X213" s="12" t="str">
        <f t="shared" si="104"/>
        <v>U</v>
      </c>
      <c r="Z213" s="3">
        <v>53</v>
      </c>
      <c r="AB213" s="12" t="str">
        <f t="shared" si="89"/>
        <v>LAC/BOS</v>
      </c>
      <c r="AC213" s="12">
        <f t="shared" si="99"/>
        <v>1</v>
      </c>
      <c r="AD213" s="12">
        <f t="shared" si="100"/>
        <v>3</v>
      </c>
    </row>
    <row r="214" spans="1:30" ht="17.100000000000001" x14ac:dyDescent="0.45">
      <c r="A214" s="12">
        <v>191122</v>
      </c>
      <c r="B214" s="44">
        <v>0.41666666666666669</v>
      </c>
      <c r="C214" s="12" t="s">
        <v>253</v>
      </c>
      <c r="D214" s="12" t="s">
        <v>254</v>
      </c>
      <c r="E214" s="12">
        <v>37</v>
      </c>
      <c r="F214" s="12">
        <v>35</v>
      </c>
      <c r="G214" s="12">
        <v>35</v>
      </c>
      <c r="H214" s="12">
        <v>30</v>
      </c>
      <c r="I214" s="12"/>
      <c r="J214" s="12">
        <v>27</v>
      </c>
      <c r="K214" s="12">
        <v>31</v>
      </c>
      <c r="L214" s="12">
        <v>40</v>
      </c>
      <c r="M214" s="12">
        <v>31</v>
      </c>
      <c r="O214" s="12">
        <f t="shared" ref="O214:O252" si="105">SUM(E214:I214)</f>
        <v>137</v>
      </c>
      <c r="P214" s="12">
        <f t="shared" ref="P214:P252" si="106">SUM(J214:N214)</f>
        <v>129</v>
      </c>
      <c r="Q214" s="12" t="str">
        <f t="shared" ref="Q214:Q252" si="107">IF(E214=J214,"TT",IF(E214&gt;J214,"HW","HL"))</f>
        <v>HW</v>
      </c>
      <c r="R214" s="12" t="str">
        <f t="shared" ref="R214:R252" si="108">IF(F214=K214,"TT",IF(F214&gt;K214,"HW","HL"))</f>
        <v>HW</v>
      </c>
      <c r="S214" s="12" t="str">
        <f t="shared" ref="S214:S252" si="109">IF(G214=L214,"TT",IF(G214&gt;L214,"HW","HL"))</f>
        <v>HL</v>
      </c>
      <c r="T214" s="12" t="str">
        <f t="shared" ref="T214:T252" si="110">IF(H214=M214,"TT",IF(H214&gt;M214,"HW","HL"))</f>
        <v>HL</v>
      </c>
      <c r="U214" s="12" t="str">
        <f t="shared" ref="U214:U252" si="111">IF(SUM(E214,J214)=$Z214,"T",IF(SUM(E214,J214)&gt;$Z214,"O","U"))</f>
        <v>O</v>
      </c>
      <c r="V214" s="12" t="str">
        <f t="shared" ref="V214:V252" si="112">IF(SUM(F214,K214)=$Z214,"T",IF(SUM(F214,K214)&gt;$Z214,"O","U"))</f>
        <v>O</v>
      </c>
      <c r="W214" s="12" t="str">
        <f t="shared" ref="W214:W252" si="113">IF(SUM(G214,L214)=$Z214,"T",IF(SUM(G214,L214)&gt;$Z214,"O","U"))</f>
        <v>O</v>
      </c>
      <c r="X214" s="12" t="str">
        <f t="shared" ref="X214:X252" si="114">IF(SUM(H214,M214)=$Z214,"T",IF(SUM(H214,M214)&gt;$Z214,"O","U"))</f>
        <v>O</v>
      </c>
      <c r="Z214" s="3">
        <v>55.5</v>
      </c>
      <c r="AB214" s="12" t="str">
        <f t="shared" ref="AB214:AB253" si="115">C214&amp;"/"&amp;D214</f>
        <v>MIL/POR</v>
      </c>
      <c r="AC214" s="12">
        <f t="shared" ref="AC214:AC253" si="116">COUNTIF(U214:X214,"o")</f>
        <v>4</v>
      </c>
      <c r="AD214" s="12">
        <f t="shared" ref="AD214:AD253" si="117">COUNTIF(U214:X214,"u")</f>
        <v>0</v>
      </c>
    </row>
    <row r="215" spans="1:30" ht="17.100000000000001" x14ac:dyDescent="0.45">
      <c r="A215" s="12">
        <v>191122</v>
      </c>
      <c r="B215" s="44">
        <v>0.52083333333333337</v>
      </c>
      <c r="C215" s="12" t="s">
        <v>255</v>
      </c>
      <c r="D215" s="5" t="s">
        <v>256</v>
      </c>
      <c r="E215" s="12">
        <v>33</v>
      </c>
      <c r="F215" s="12">
        <v>33</v>
      </c>
      <c r="G215" s="12">
        <v>28</v>
      </c>
      <c r="H215" s="12">
        <v>27</v>
      </c>
      <c r="I215" s="12"/>
      <c r="J215" s="12">
        <v>38</v>
      </c>
      <c r="K215" s="12">
        <v>21</v>
      </c>
      <c r="L215" s="12">
        <v>36</v>
      </c>
      <c r="M215" s="12">
        <v>29</v>
      </c>
      <c r="N215" s="12"/>
      <c r="O215" s="12">
        <f t="shared" si="105"/>
        <v>121</v>
      </c>
      <c r="P215" s="12">
        <f t="shared" si="106"/>
        <v>124</v>
      </c>
      <c r="Q215" s="12" t="str">
        <f t="shared" si="107"/>
        <v>HL</v>
      </c>
      <c r="R215" s="12" t="str">
        <f t="shared" si="108"/>
        <v>HW</v>
      </c>
      <c r="S215" s="12" t="str">
        <f t="shared" si="109"/>
        <v>HL</v>
      </c>
      <c r="T215" s="12" t="str">
        <f t="shared" si="110"/>
        <v>HL</v>
      </c>
      <c r="U215" s="12" t="str">
        <f t="shared" si="111"/>
        <v>O</v>
      </c>
      <c r="V215" s="12" t="str">
        <f t="shared" si="112"/>
        <v>U</v>
      </c>
      <c r="W215" s="12" t="str">
        <f t="shared" si="113"/>
        <v>O</v>
      </c>
      <c r="X215" s="12" t="str">
        <f t="shared" si="114"/>
        <v>U</v>
      </c>
      <c r="Z215" s="3">
        <v>60</v>
      </c>
      <c r="AB215" s="12" t="str">
        <f t="shared" si="115"/>
        <v>PHO/NO</v>
      </c>
      <c r="AC215" s="12">
        <f t="shared" si="116"/>
        <v>2</v>
      </c>
      <c r="AD215" s="12">
        <f t="shared" si="117"/>
        <v>2</v>
      </c>
    </row>
    <row r="216" spans="1:30" ht="17.100000000000001" x14ac:dyDescent="0.45">
      <c r="A216" s="12">
        <v>191123</v>
      </c>
      <c r="B216" s="44">
        <v>0.375</v>
      </c>
      <c r="C216" s="3" t="s">
        <v>257</v>
      </c>
      <c r="D216" s="5" t="s">
        <v>258</v>
      </c>
      <c r="E216" s="12">
        <v>33</v>
      </c>
      <c r="F216" s="12">
        <v>43</v>
      </c>
      <c r="G216" s="12">
        <v>31</v>
      </c>
      <c r="H216" s="12">
        <v>21</v>
      </c>
      <c r="I216" s="12"/>
      <c r="J216" s="12">
        <v>23</v>
      </c>
      <c r="K216" s="12">
        <v>34</v>
      </c>
      <c r="L216" s="12">
        <v>27</v>
      </c>
      <c r="M216" s="12">
        <v>19</v>
      </c>
      <c r="O216" s="12">
        <f t="shared" si="105"/>
        <v>128</v>
      </c>
      <c r="P216" s="12">
        <f t="shared" si="106"/>
        <v>103</v>
      </c>
      <c r="Q216" s="12" t="str">
        <f t="shared" si="107"/>
        <v>HW</v>
      </c>
      <c r="R216" s="12" t="str">
        <f t="shared" si="108"/>
        <v>HW</v>
      </c>
      <c r="S216" s="12" t="str">
        <f t="shared" si="109"/>
        <v>HW</v>
      </c>
      <c r="T216" s="12" t="str">
        <f t="shared" si="110"/>
        <v>HW</v>
      </c>
      <c r="U216" s="12" t="str">
        <f t="shared" si="111"/>
        <v>U</v>
      </c>
      <c r="V216" s="12" t="str">
        <f t="shared" si="112"/>
        <v>O</v>
      </c>
      <c r="W216" s="12" t="str">
        <f t="shared" si="113"/>
        <v>U</v>
      </c>
      <c r="X216" s="12" t="str">
        <f t="shared" si="114"/>
        <v>U</v>
      </c>
      <c r="Z216" s="3">
        <v>58.5</v>
      </c>
      <c r="AB216" s="12" t="str">
        <f t="shared" si="115"/>
        <v>DET/ATL</v>
      </c>
      <c r="AC216" s="12">
        <f t="shared" si="116"/>
        <v>1</v>
      </c>
      <c r="AD216" s="12">
        <f t="shared" si="117"/>
        <v>3</v>
      </c>
    </row>
    <row r="217" spans="1:30" ht="17.100000000000001" x14ac:dyDescent="0.45">
      <c r="A217" s="12">
        <v>191123</v>
      </c>
      <c r="B217" s="44">
        <v>0.375</v>
      </c>
      <c r="C217" s="3" t="s">
        <v>259</v>
      </c>
      <c r="D217" s="5" t="s">
        <v>260</v>
      </c>
      <c r="E217" s="12">
        <v>33</v>
      </c>
      <c r="F217" s="12">
        <v>29</v>
      </c>
      <c r="G217" s="12">
        <v>28</v>
      </c>
      <c r="H217" s="12">
        <v>35</v>
      </c>
      <c r="I217" s="12"/>
      <c r="J217" s="12">
        <v>34</v>
      </c>
      <c r="K217" s="12">
        <v>34</v>
      </c>
      <c r="L217" s="12">
        <v>28</v>
      </c>
      <c r="M217" s="12">
        <v>22</v>
      </c>
      <c r="O217" s="12">
        <f t="shared" si="105"/>
        <v>125</v>
      </c>
      <c r="P217" s="12">
        <f t="shared" si="106"/>
        <v>118</v>
      </c>
      <c r="Q217" s="12" t="str">
        <f t="shared" si="107"/>
        <v>HL</v>
      </c>
      <c r="R217" s="12" t="str">
        <f t="shared" si="108"/>
        <v>HL</v>
      </c>
      <c r="S217" s="12" t="str">
        <f t="shared" si="109"/>
        <v>TT</v>
      </c>
      <c r="T217" s="12" t="str">
        <f t="shared" si="110"/>
        <v>HW</v>
      </c>
      <c r="U217" s="12" t="str">
        <f t="shared" si="111"/>
        <v>O</v>
      </c>
      <c r="V217" s="12" t="str">
        <f t="shared" si="112"/>
        <v>O</v>
      </c>
      <c r="W217" s="12" t="str">
        <f t="shared" si="113"/>
        <v>U</v>
      </c>
      <c r="X217" s="12" t="str">
        <f t="shared" si="114"/>
        <v>U</v>
      </c>
      <c r="Z217" s="3">
        <v>60.5</v>
      </c>
      <c r="AB217" s="12" t="str">
        <f t="shared" si="115"/>
        <v>WAS/CHA</v>
      </c>
      <c r="AC217" s="12">
        <f t="shared" si="116"/>
        <v>2</v>
      </c>
      <c r="AD217" s="12">
        <f t="shared" si="117"/>
        <v>2</v>
      </c>
    </row>
    <row r="218" spans="1:30" ht="17.100000000000001" x14ac:dyDescent="0.45">
      <c r="A218" s="12">
        <v>191123</v>
      </c>
      <c r="B218" s="44">
        <v>0.39583333333333331</v>
      </c>
      <c r="C218" s="3" t="s">
        <v>261</v>
      </c>
      <c r="D218" s="5" t="s">
        <v>262</v>
      </c>
      <c r="E218" s="12">
        <v>26</v>
      </c>
      <c r="F218" s="12">
        <v>30</v>
      </c>
      <c r="G218" s="12">
        <v>30</v>
      </c>
      <c r="H218" s="12">
        <v>30</v>
      </c>
      <c r="I218" s="12"/>
      <c r="J218" s="12">
        <v>23</v>
      </c>
      <c r="K218" s="12">
        <v>26</v>
      </c>
      <c r="L218" s="12">
        <v>21</v>
      </c>
      <c r="M218" s="12">
        <v>27</v>
      </c>
      <c r="N218" s="12"/>
      <c r="O218" s="12">
        <f t="shared" si="105"/>
        <v>116</v>
      </c>
      <c r="P218" s="12">
        <f t="shared" si="106"/>
        <v>97</v>
      </c>
      <c r="Q218" s="12" t="str">
        <f t="shared" si="107"/>
        <v>HW</v>
      </c>
      <c r="R218" s="12" t="str">
        <f t="shared" si="108"/>
        <v>HW</v>
      </c>
      <c r="S218" s="12" t="str">
        <f t="shared" si="109"/>
        <v>HW</v>
      </c>
      <c r="T218" s="12" t="str">
        <f t="shared" si="110"/>
        <v>HW</v>
      </c>
      <c r="U218" s="12" t="str">
        <f t="shared" si="111"/>
        <v>U</v>
      </c>
      <c r="V218" s="12" t="str">
        <f t="shared" si="112"/>
        <v>O</v>
      </c>
      <c r="W218" s="12" t="str">
        <f t="shared" si="113"/>
        <v>U</v>
      </c>
      <c r="X218" s="12" t="str">
        <f t="shared" si="114"/>
        <v>O</v>
      </c>
      <c r="Z218" s="3">
        <v>54.5</v>
      </c>
      <c r="AB218" s="12" t="str">
        <f t="shared" si="115"/>
        <v>BKN/SAC</v>
      </c>
      <c r="AC218" s="12">
        <f t="shared" si="116"/>
        <v>2</v>
      </c>
      <c r="AD218" s="12">
        <f t="shared" si="117"/>
        <v>2</v>
      </c>
    </row>
    <row r="219" spans="1:30" ht="17.100000000000001" x14ac:dyDescent="0.45">
      <c r="A219" s="12">
        <v>191123</v>
      </c>
      <c r="B219" s="44">
        <v>0.41666666666666669</v>
      </c>
      <c r="C219" s="3" t="s">
        <v>263</v>
      </c>
      <c r="D219" s="5" t="s">
        <v>264</v>
      </c>
      <c r="E219" s="12">
        <v>16</v>
      </c>
      <c r="F219" s="12">
        <v>27</v>
      </c>
      <c r="G219" s="12">
        <v>24</v>
      </c>
      <c r="H219" s="12">
        <v>41</v>
      </c>
      <c r="I219" s="12"/>
      <c r="J219" s="12">
        <v>34</v>
      </c>
      <c r="K219" s="12">
        <v>33</v>
      </c>
      <c r="L219" s="12">
        <v>18</v>
      </c>
      <c r="M219" s="12">
        <v>31</v>
      </c>
      <c r="O219" s="12">
        <f t="shared" si="105"/>
        <v>108</v>
      </c>
      <c r="P219" s="12">
        <f t="shared" si="106"/>
        <v>116</v>
      </c>
      <c r="Q219" s="12" t="str">
        <f t="shared" si="107"/>
        <v>HL</v>
      </c>
      <c r="R219" s="12" t="str">
        <f t="shared" si="108"/>
        <v>HL</v>
      </c>
      <c r="S219" s="12" t="str">
        <f t="shared" si="109"/>
        <v>HW</v>
      </c>
      <c r="T219" s="12" t="str">
        <f t="shared" si="110"/>
        <v>HW</v>
      </c>
      <c r="U219" s="12" t="str">
        <f t="shared" si="111"/>
        <v>U</v>
      </c>
      <c r="V219" s="12" t="str">
        <f t="shared" si="112"/>
        <v>O</v>
      </c>
      <c r="W219" s="12" t="str">
        <f t="shared" si="113"/>
        <v>U</v>
      </c>
      <c r="X219" s="12" t="str">
        <f t="shared" si="114"/>
        <v>O</v>
      </c>
      <c r="Z219" s="3">
        <v>55.5</v>
      </c>
      <c r="AB219" s="12" t="str">
        <f t="shared" si="115"/>
        <v>CHI/MIA</v>
      </c>
      <c r="AC219" s="12">
        <f t="shared" si="116"/>
        <v>2</v>
      </c>
      <c r="AD219" s="12">
        <f t="shared" si="117"/>
        <v>2</v>
      </c>
    </row>
    <row r="220" spans="1:30" ht="17.100000000000001" x14ac:dyDescent="0.45">
      <c r="A220" s="12">
        <v>191123</v>
      </c>
      <c r="B220" s="44">
        <v>0.41666666666666669</v>
      </c>
      <c r="C220" s="3" t="s">
        <v>265</v>
      </c>
      <c r="D220" s="5" t="s">
        <v>266</v>
      </c>
      <c r="E220" s="12">
        <v>29</v>
      </c>
      <c r="F220" s="12">
        <v>30</v>
      </c>
      <c r="G220" s="12">
        <v>28</v>
      </c>
      <c r="H220" s="12">
        <v>28</v>
      </c>
      <c r="I220" s="12"/>
      <c r="J220" s="12">
        <v>22</v>
      </c>
      <c r="K220" s="12">
        <v>30</v>
      </c>
      <c r="L220" s="12">
        <v>28</v>
      </c>
      <c r="M220" s="12">
        <v>24</v>
      </c>
      <c r="O220" s="12">
        <f t="shared" si="105"/>
        <v>115</v>
      </c>
      <c r="P220" s="12">
        <f t="shared" si="106"/>
        <v>104</v>
      </c>
      <c r="Q220" s="12" t="str">
        <f t="shared" si="107"/>
        <v>HW</v>
      </c>
      <c r="R220" s="12" t="str">
        <f t="shared" si="108"/>
        <v>TT</v>
      </c>
      <c r="S220" s="12" t="str">
        <f t="shared" si="109"/>
        <v>TT</v>
      </c>
      <c r="T220" s="12" t="str">
        <f t="shared" si="110"/>
        <v>HW</v>
      </c>
      <c r="U220" s="12" t="str">
        <f t="shared" si="111"/>
        <v>U</v>
      </c>
      <c r="V220" s="12" t="str">
        <f t="shared" si="112"/>
        <v>O</v>
      </c>
      <c r="W220" s="12" t="str">
        <f t="shared" si="113"/>
        <v>O</v>
      </c>
      <c r="X220" s="12" t="str">
        <f t="shared" si="114"/>
        <v>U</v>
      </c>
      <c r="Z220" s="3">
        <v>53.5</v>
      </c>
      <c r="AB220" s="12" t="str">
        <f t="shared" si="115"/>
        <v>PHI/SAS</v>
      </c>
      <c r="AC220" s="12">
        <f t="shared" si="116"/>
        <v>2</v>
      </c>
      <c r="AD220" s="12">
        <f t="shared" si="117"/>
        <v>2</v>
      </c>
    </row>
    <row r="221" spans="1:30" ht="17.100000000000001" x14ac:dyDescent="0.45">
      <c r="A221" s="12">
        <v>191123</v>
      </c>
      <c r="B221" s="44">
        <v>0.41666666666666669</v>
      </c>
      <c r="C221" s="3" t="s">
        <v>267</v>
      </c>
      <c r="D221" s="5" t="s">
        <v>268</v>
      </c>
      <c r="E221" s="12">
        <v>33</v>
      </c>
      <c r="F221" s="12">
        <v>34</v>
      </c>
      <c r="G221" s="12">
        <v>36</v>
      </c>
      <c r="H221" s="12">
        <v>24</v>
      </c>
      <c r="I221" s="12"/>
      <c r="J221" s="12">
        <v>34</v>
      </c>
      <c r="K221" s="12">
        <v>32</v>
      </c>
      <c r="L221" s="12">
        <v>40</v>
      </c>
      <c r="M221" s="12">
        <v>24</v>
      </c>
      <c r="O221" s="12">
        <f t="shared" si="105"/>
        <v>127</v>
      </c>
      <c r="P221" s="12">
        <f t="shared" si="106"/>
        <v>130</v>
      </c>
      <c r="Q221" s="12" t="str">
        <f t="shared" si="107"/>
        <v>HL</v>
      </c>
      <c r="R221" s="12" t="str">
        <f t="shared" si="108"/>
        <v>HW</v>
      </c>
      <c r="S221" s="12" t="str">
        <f t="shared" si="109"/>
        <v>HL</v>
      </c>
      <c r="T221" s="12" t="str">
        <f t="shared" si="110"/>
        <v>TT</v>
      </c>
      <c r="U221" s="12" t="str">
        <f t="shared" si="111"/>
        <v>O</v>
      </c>
      <c r="V221" s="12" t="str">
        <f t="shared" si="112"/>
        <v>O</v>
      </c>
      <c r="W221" s="12" t="str">
        <f t="shared" si="113"/>
        <v>O</v>
      </c>
      <c r="X221" s="12" t="str">
        <f t="shared" si="114"/>
        <v>U</v>
      </c>
      <c r="Z221" s="3">
        <v>54.5</v>
      </c>
      <c r="AB221" s="12" t="str">
        <f t="shared" si="115"/>
        <v>OKC/LAL</v>
      </c>
      <c r="AC221" s="12">
        <f t="shared" si="116"/>
        <v>3</v>
      </c>
      <c r="AD221" s="12">
        <f t="shared" si="117"/>
        <v>1</v>
      </c>
    </row>
    <row r="222" spans="1:30" ht="17.100000000000001" x14ac:dyDescent="0.45">
      <c r="A222" s="12">
        <v>191123</v>
      </c>
      <c r="B222" s="44">
        <v>0.4375</v>
      </c>
      <c r="C222" s="3" t="s">
        <v>269</v>
      </c>
      <c r="D222" s="5" t="s">
        <v>270</v>
      </c>
      <c r="E222" s="12">
        <v>29</v>
      </c>
      <c r="F222" s="12">
        <v>37</v>
      </c>
      <c r="G222" s="12">
        <v>45</v>
      </c>
      <c r="H222" s="12">
        <v>32</v>
      </c>
      <c r="I222" s="12"/>
      <c r="J222" s="12">
        <v>26</v>
      </c>
      <c r="K222" s="12">
        <v>16</v>
      </c>
      <c r="L222" s="12">
        <v>29</v>
      </c>
      <c r="M222" s="12">
        <v>30</v>
      </c>
      <c r="N222" s="12"/>
      <c r="O222" s="12">
        <f t="shared" si="105"/>
        <v>143</v>
      </c>
      <c r="P222" s="12">
        <f t="shared" si="106"/>
        <v>101</v>
      </c>
      <c r="Q222" s="12" t="str">
        <f t="shared" si="107"/>
        <v>HW</v>
      </c>
      <c r="R222" s="12" t="str">
        <f t="shared" si="108"/>
        <v>HW</v>
      </c>
      <c r="S222" s="12" t="str">
        <f t="shared" si="109"/>
        <v>HW</v>
      </c>
      <c r="T222" s="12" t="str">
        <f t="shared" si="110"/>
        <v>HW</v>
      </c>
      <c r="U222" s="12" t="str">
        <f t="shared" si="111"/>
        <v>O</v>
      </c>
      <c r="V222" s="12" t="str">
        <f t="shared" si="112"/>
        <v>U</v>
      </c>
      <c r="W222" s="12" t="str">
        <f t="shared" si="113"/>
        <v>O</v>
      </c>
      <c r="X222" s="12" t="str">
        <f t="shared" si="114"/>
        <v>O</v>
      </c>
      <c r="Z222" s="3">
        <v>54</v>
      </c>
      <c r="AB222" s="12" t="str">
        <f t="shared" si="115"/>
        <v>DAL/CLE</v>
      </c>
      <c r="AC222" s="12">
        <f t="shared" si="116"/>
        <v>3</v>
      </c>
      <c r="AD222" s="12">
        <f t="shared" si="117"/>
        <v>1</v>
      </c>
    </row>
    <row r="223" spans="1:30" ht="17.100000000000001" x14ac:dyDescent="0.45">
      <c r="A223" s="12">
        <v>191123</v>
      </c>
      <c r="B223" s="44">
        <v>0.45833333333333331</v>
      </c>
      <c r="C223" s="3" t="s">
        <v>271</v>
      </c>
      <c r="D223" s="5" t="s">
        <v>272</v>
      </c>
      <c r="E223" s="12">
        <v>27</v>
      </c>
      <c r="F223" s="12">
        <v>18</v>
      </c>
      <c r="G223" s="12">
        <v>25</v>
      </c>
      <c r="H223" s="12">
        <v>26</v>
      </c>
      <c r="I223" s="12"/>
      <c r="J223" s="12">
        <v>13</v>
      </c>
      <c r="K223" s="12">
        <v>21</v>
      </c>
      <c r="L223" s="12">
        <v>23</v>
      </c>
      <c r="M223" s="12">
        <v>35</v>
      </c>
      <c r="O223" s="12">
        <f t="shared" si="105"/>
        <v>96</v>
      </c>
      <c r="P223" s="12">
        <f t="shared" si="106"/>
        <v>92</v>
      </c>
      <c r="Q223" s="12" t="str">
        <f t="shared" si="107"/>
        <v>HW</v>
      </c>
      <c r="R223" s="12" t="str">
        <f t="shared" si="108"/>
        <v>HL</v>
      </c>
      <c r="S223" s="12" t="str">
        <f t="shared" si="109"/>
        <v>HW</v>
      </c>
      <c r="T223" s="12" t="str">
        <f t="shared" si="110"/>
        <v>HL</v>
      </c>
      <c r="U223" s="12" t="str">
        <f t="shared" si="111"/>
        <v>U</v>
      </c>
      <c r="V223" s="12" t="str">
        <f t="shared" si="112"/>
        <v>U</v>
      </c>
      <c r="W223" s="12" t="str">
        <f t="shared" si="113"/>
        <v>U</v>
      </c>
      <c r="X223" s="12" t="str">
        <f t="shared" si="114"/>
        <v>O</v>
      </c>
      <c r="Z223" s="3">
        <v>50</v>
      </c>
      <c r="AB223" s="12" t="str">
        <f t="shared" si="115"/>
        <v>DEN/BOS</v>
      </c>
      <c r="AC223" s="12">
        <f t="shared" si="116"/>
        <v>1</v>
      </c>
      <c r="AD223" s="12">
        <f t="shared" si="117"/>
        <v>3</v>
      </c>
    </row>
    <row r="224" spans="1:30" ht="17.100000000000001" x14ac:dyDescent="0.45">
      <c r="A224" s="12">
        <v>191123</v>
      </c>
      <c r="B224" s="44">
        <v>0.45833333333333331</v>
      </c>
      <c r="C224" s="3" t="s">
        <v>273</v>
      </c>
      <c r="D224" s="5" t="s">
        <v>274</v>
      </c>
      <c r="E224" s="12">
        <v>30</v>
      </c>
      <c r="F224" s="12">
        <v>35</v>
      </c>
      <c r="G224" s="12">
        <v>25</v>
      </c>
      <c r="H224" s="12">
        <v>23</v>
      </c>
      <c r="I224" s="12"/>
      <c r="J224" s="12">
        <v>28</v>
      </c>
      <c r="K224" s="12">
        <v>23</v>
      </c>
      <c r="L224" s="12">
        <v>21</v>
      </c>
      <c r="M224" s="12">
        <v>37</v>
      </c>
      <c r="O224" s="12">
        <f t="shared" si="105"/>
        <v>113</v>
      </c>
      <c r="P224" s="12">
        <f t="shared" si="106"/>
        <v>109</v>
      </c>
      <c r="Q224" s="12" t="str">
        <f t="shared" si="107"/>
        <v>HW</v>
      </c>
      <c r="R224" s="12" t="str">
        <f t="shared" si="108"/>
        <v>HW</v>
      </c>
      <c r="S224" s="12" t="str">
        <f t="shared" si="109"/>
        <v>HW</v>
      </c>
      <c r="T224" s="12" t="str">
        <f t="shared" si="110"/>
        <v>HL</v>
      </c>
      <c r="U224" s="12" t="str">
        <f t="shared" si="111"/>
        <v>O</v>
      </c>
      <c r="V224" s="12" t="str">
        <f t="shared" si="112"/>
        <v>O</v>
      </c>
      <c r="W224" s="12" t="str">
        <f t="shared" si="113"/>
        <v>U</v>
      </c>
      <c r="X224" s="12" t="str">
        <f t="shared" si="114"/>
        <v>O</v>
      </c>
      <c r="Z224" s="3">
        <v>54</v>
      </c>
      <c r="AB224" s="12" t="str">
        <f t="shared" si="115"/>
        <v>UTA/GS</v>
      </c>
      <c r="AC224" s="12">
        <f t="shared" si="116"/>
        <v>3</v>
      </c>
      <c r="AD224" s="12">
        <f t="shared" si="117"/>
        <v>1</v>
      </c>
    </row>
    <row r="225" spans="1:30" ht="17.100000000000001" x14ac:dyDescent="0.45">
      <c r="A225" s="12">
        <v>191123</v>
      </c>
      <c r="B225" s="44">
        <v>0.52083333333333337</v>
      </c>
      <c r="C225" s="3" t="s">
        <v>275</v>
      </c>
      <c r="D225" s="5" t="s">
        <v>276</v>
      </c>
      <c r="E225" s="12">
        <v>31</v>
      </c>
      <c r="F225" s="12">
        <v>24</v>
      </c>
      <c r="G225" s="12">
        <v>25</v>
      </c>
      <c r="H225" s="12">
        <v>42</v>
      </c>
      <c r="I225" s="12"/>
      <c r="J225" s="12">
        <v>23</v>
      </c>
      <c r="K225" s="12">
        <v>28</v>
      </c>
      <c r="L225" s="12">
        <v>33</v>
      </c>
      <c r="M225" s="12">
        <v>35</v>
      </c>
      <c r="O225" s="12">
        <f t="shared" si="105"/>
        <v>122</v>
      </c>
      <c r="P225" s="12">
        <f t="shared" si="106"/>
        <v>119</v>
      </c>
      <c r="Q225" s="12" t="str">
        <f t="shared" si="107"/>
        <v>HW</v>
      </c>
      <c r="R225" s="12" t="str">
        <f t="shared" si="108"/>
        <v>HL</v>
      </c>
      <c r="S225" s="12" t="str">
        <f t="shared" si="109"/>
        <v>HL</v>
      </c>
      <c r="T225" s="12" t="str">
        <f t="shared" si="110"/>
        <v>HW</v>
      </c>
      <c r="U225" s="12" t="str">
        <f t="shared" si="111"/>
        <v>U</v>
      </c>
      <c r="V225" s="12" t="str">
        <f t="shared" si="112"/>
        <v>U</v>
      </c>
      <c r="W225" s="12" t="str">
        <f t="shared" si="113"/>
        <v>T</v>
      </c>
      <c r="X225" s="12" t="str">
        <f t="shared" si="114"/>
        <v>O</v>
      </c>
      <c r="Z225" s="3">
        <v>58</v>
      </c>
      <c r="AB225" s="12" t="str">
        <f t="shared" si="115"/>
        <v>LAC/HOU</v>
      </c>
      <c r="AC225" s="12">
        <f t="shared" si="116"/>
        <v>1</v>
      </c>
      <c r="AD225" s="12">
        <f t="shared" si="117"/>
        <v>2</v>
      </c>
    </row>
    <row r="226" spans="1:30" ht="17.100000000000001" x14ac:dyDescent="0.45">
      <c r="A226" s="12">
        <v>191124</v>
      </c>
      <c r="B226" s="44">
        <v>0.29166666666666669</v>
      </c>
      <c r="C226" s="3" t="s">
        <v>277</v>
      </c>
      <c r="D226" s="5" t="s">
        <v>278</v>
      </c>
      <c r="E226" s="12">
        <v>23</v>
      </c>
      <c r="F226" s="12">
        <v>22</v>
      </c>
      <c r="G226" s="12">
        <v>28</v>
      </c>
      <c r="H226" s="12">
        <v>25</v>
      </c>
      <c r="I226" s="12"/>
      <c r="J226" s="12">
        <v>30</v>
      </c>
      <c r="K226" s="12">
        <v>22</v>
      </c>
      <c r="L226" s="12">
        <v>30</v>
      </c>
      <c r="M226" s="12">
        <v>18</v>
      </c>
      <c r="O226" s="12">
        <f t="shared" si="105"/>
        <v>98</v>
      </c>
      <c r="P226" s="12">
        <f t="shared" si="106"/>
        <v>100</v>
      </c>
      <c r="Q226" s="12" t="str">
        <f t="shared" si="107"/>
        <v>HL</v>
      </c>
      <c r="R226" s="12" t="str">
        <f t="shared" si="108"/>
        <v>TT</v>
      </c>
      <c r="S226" s="12" t="str">
        <f t="shared" si="109"/>
        <v>HL</v>
      </c>
      <c r="T226" s="12" t="str">
        <f t="shared" si="110"/>
        <v>HW</v>
      </c>
      <c r="U226" s="12" t="str">
        <f t="shared" si="111"/>
        <v>U</v>
      </c>
      <c r="V226" s="12" t="str">
        <f t="shared" si="112"/>
        <v>U</v>
      </c>
      <c r="W226" s="12" t="str">
        <f t="shared" si="113"/>
        <v>O</v>
      </c>
      <c r="X226" s="12" t="str">
        <f t="shared" si="114"/>
        <v>U</v>
      </c>
      <c r="Z226" s="3">
        <v>57</v>
      </c>
      <c r="AB226" s="12" t="str">
        <f t="shared" si="115"/>
        <v>MIN/PHO</v>
      </c>
      <c r="AC226" s="12">
        <f t="shared" si="116"/>
        <v>1</v>
      </c>
      <c r="AD226" s="12">
        <f t="shared" si="117"/>
        <v>3</v>
      </c>
    </row>
    <row r="227" spans="1:30" ht="17.100000000000001" x14ac:dyDescent="0.45">
      <c r="A227" s="12">
        <v>191124</v>
      </c>
      <c r="B227" s="44">
        <v>0.375</v>
      </c>
      <c r="C227" s="3" t="s">
        <v>279</v>
      </c>
      <c r="D227" s="5" t="s">
        <v>280</v>
      </c>
      <c r="E227" s="12">
        <v>24</v>
      </c>
      <c r="F227" s="12">
        <v>31</v>
      </c>
      <c r="G227" s="12">
        <v>28</v>
      </c>
      <c r="H227" s="12">
        <v>28</v>
      </c>
      <c r="I227" s="12"/>
      <c r="J227" s="12">
        <v>25</v>
      </c>
      <c r="K227" s="12">
        <v>20</v>
      </c>
      <c r="L227" s="12">
        <v>40</v>
      </c>
      <c r="M227" s="12">
        <v>21</v>
      </c>
      <c r="O227" s="12">
        <f t="shared" si="105"/>
        <v>111</v>
      </c>
      <c r="P227" s="12">
        <f t="shared" si="106"/>
        <v>106</v>
      </c>
      <c r="Q227" s="12" t="str">
        <f t="shared" si="107"/>
        <v>HL</v>
      </c>
      <c r="R227" s="12" t="str">
        <f t="shared" si="108"/>
        <v>HW</v>
      </c>
      <c r="S227" s="12" t="str">
        <f t="shared" si="109"/>
        <v>HL</v>
      </c>
      <c r="T227" s="12" t="str">
        <f t="shared" si="110"/>
        <v>HW</v>
      </c>
      <c r="U227" s="12" t="str">
        <f t="shared" si="111"/>
        <v>U</v>
      </c>
      <c r="V227" s="12" t="str">
        <f t="shared" si="112"/>
        <v>U</v>
      </c>
      <c r="W227" s="12" t="str">
        <f t="shared" si="113"/>
        <v>O</v>
      </c>
      <c r="X227" s="12" t="str">
        <f t="shared" si="114"/>
        <v>U</v>
      </c>
      <c r="Z227" s="3">
        <v>52</v>
      </c>
      <c r="AB227" s="12" t="str">
        <f t="shared" si="115"/>
        <v>IND/ORL</v>
      </c>
      <c r="AC227" s="12">
        <f t="shared" si="116"/>
        <v>1</v>
      </c>
      <c r="AD227" s="12">
        <f t="shared" si="117"/>
        <v>3</v>
      </c>
    </row>
    <row r="228" spans="1:30" ht="17.100000000000001" x14ac:dyDescent="0.45">
      <c r="A228" s="12">
        <v>191124</v>
      </c>
      <c r="B228" s="44">
        <v>0.375</v>
      </c>
      <c r="C228" s="3" t="s">
        <v>260</v>
      </c>
      <c r="D228" s="5" t="s">
        <v>263</v>
      </c>
      <c r="E228" s="12">
        <v>23</v>
      </c>
      <c r="F228" s="12">
        <v>26</v>
      </c>
      <c r="G228" s="12">
        <v>25</v>
      </c>
      <c r="H228" s="12">
        <v>41</v>
      </c>
      <c r="I228" s="12"/>
      <c r="J228" s="12">
        <v>34</v>
      </c>
      <c r="K228" s="12">
        <v>22</v>
      </c>
      <c r="L228" s="12">
        <v>13</v>
      </c>
      <c r="M228" s="12">
        <v>47</v>
      </c>
      <c r="O228" s="12">
        <f t="shared" si="105"/>
        <v>115</v>
      </c>
      <c r="P228" s="12">
        <f t="shared" si="106"/>
        <v>116</v>
      </c>
      <c r="Q228" s="12" t="str">
        <f t="shared" si="107"/>
        <v>HL</v>
      </c>
      <c r="R228" s="12" t="str">
        <f t="shared" si="108"/>
        <v>HW</v>
      </c>
      <c r="S228" s="12" t="str">
        <f t="shared" si="109"/>
        <v>HW</v>
      </c>
      <c r="T228" s="12" t="str">
        <f t="shared" si="110"/>
        <v>HL</v>
      </c>
      <c r="U228" s="12" t="str">
        <f t="shared" si="111"/>
        <v>O</v>
      </c>
      <c r="V228" s="12" t="str">
        <f t="shared" si="112"/>
        <v>U</v>
      </c>
      <c r="W228" s="12" t="str">
        <f t="shared" si="113"/>
        <v>U</v>
      </c>
      <c r="X228" s="12" t="str">
        <f t="shared" si="114"/>
        <v>O</v>
      </c>
      <c r="Z228" s="3">
        <v>54.5</v>
      </c>
      <c r="AB228" s="12" t="str">
        <f t="shared" si="115"/>
        <v>CHA/CHI</v>
      </c>
      <c r="AC228" s="12">
        <f t="shared" si="116"/>
        <v>2</v>
      </c>
      <c r="AD228" s="12">
        <f t="shared" si="117"/>
        <v>2</v>
      </c>
    </row>
    <row r="229" spans="1:30" ht="17.100000000000001" x14ac:dyDescent="0.45">
      <c r="A229" s="12">
        <v>191124</v>
      </c>
      <c r="B229" s="44">
        <v>0.39583333333333331</v>
      </c>
      <c r="C229" s="3" t="s">
        <v>258</v>
      </c>
      <c r="D229" s="5" t="s">
        <v>281</v>
      </c>
      <c r="E229" s="12">
        <v>27</v>
      </c>
      <c r="F229" s="12">
        <v>34</v>
      </c>
      <c r="G229" s="12">
        <v>29</v>
      </c>
      <c r="H229" s="12">
        <v>26</v>
      </c>
      <c r="I229" s="12"/>
      <c r="J229" s="12">
        <v>26</v>
      </c>
      <c r="K229" s="12">
        <v>26</v>
      </c>
      <c r="L229" s="12">
        <v>35</v>
      </c>
      <c r="M229" s="12">
        <v>32</v>
      </c>
      <c r="O229" s="12">
        <f t="shared" si="105"/>
        <v>116</v>
      </c>
      <c r="P229" s="12">
        <f t="shared" si="106"/>
        <v>119</v>
      </c>
      <c r="Q229" s="12" t="str">
        <f t="shared" si="107"/>
        <v>HW</v>
      </c>
      <c r="R229" s="12" t="str">
        <f t="shared" si="108"/>
        <v>HW</v>
      </c>
      <c r="S229" s="12" t="str">
        <f t="shared" si="109"/>
        <v>HL</v>
      </c>
      <c r="T229" s="12" t="str">
        <f t="shared" si="110"/>
        <v>HL</v>
      </c>
      <c r="U229" s="12" t="str">
        <f t="shared" si="111"/>
        <v>U</v>
      </c>
      <c r="V229" s="12" t="str">
        <f t="shared" si="112"/>
        <v>O</v>
      </c>
      <c r="W229" s="12" t="str">
        <f t="shared" si="113"/>
        <v>O</v>
      </c>
      <c r="X229" s="12" t="str">
        <f t="shared" si="114"/>
        <v>O</v>
      </c>
      <c r="Z229" s="3">
        <v>57.5</v>
      </c>
      <c r="AB229" s="12" t="str">
        <f t="shared" si="115"/>
        <v>ATL/TOR</v>
      </c>
      <c r="AC229" s="12">
        <f t="shared" si="116"/>
        <v>3</v>
      </c>
      <c r="AD229" s="12">
        <f t="shared" si="117"/>
        <v>1</v>
      </c>
    </row>
    <row r="230" spans="1:30" ht="17.100000000000001" x14ac:dyDescent="0.45">
      <c r="A230" s="12">
        <v>191124</v>
      </c>
      <c r="B230" s="44">
        <v>0.39583333333333331</v>
      </c>
      <c r="C230" s="3" t="s">
        <v>282</v>
      </c>
      <c r="D230" s="5" t="s">
        <v>266</v>
      </c>
      <c r="E230" s="12">
        <v>16</v>
      </c>
      <c r="F230" s="12">
        <v>27</v>
      </c>
      <c r="G230" s="12">
        <v>28</v>
      </c>
      <c r="H230" s="12">
        <v>33</v>
      </c>
      <c r="I230" s="12"/>
      <c r="J230" s="12">
        <v>32</v>
      </c>
      <c r="K230" s="12">
        <v>36</v>
      </c>
      <c r="L230" s="12">
        <v>21</v>
      </c>
      <c r="M230" s="12">
        <v>22</v>
      </c>
      <c r="O230" s="12">
        <f t="shared" si="105"/>
        <v>104</v>
      </c>
      <c r="P230" s="12">
        <f t="shared" si="106"/>
        <v>111</v>
      </c>
      <c r="Q230" s="12" t="str">
        <f t="shared" si="107"/>
        <v>HL</v>
      </c>
      <c r="R230" s="12" t="str">
        <f t="shared" si="108"/>
        <v>HL</v>
      </c>
      <c r="S230" s="12" t="str">
        <f t="shared" si="109"/>
        <v>HW</v>
      </c>
      <c r="T230" s="12" t="str">
        <f t="shared" si="110"/>
        <v>HW</v>
      </c>
      <c r="U230" s="12" t="str">
        <f t="shared" si="111"/>
        <v>U</v>
      </c>
      <c r="V230" s="12" t="str">
        <f t="shared" si="112"/>
        <v>O</v>
      </c>
      <c r="W230" s="12" t="str">
        <f t="shared" si="113"/>
        <v>U</v>
      </c>
      <c r="X230" s="12" t="str">
        <f t="shared" si="114"/>
        <v>O</v>
      </c>
      <c r="Z230" s="3">
        <v>52.5</v>
      </c>
      <c r="AB230" s="12" t="str">
        <f t="shared" si="115"/>
        <v>NYK/SAS</v>
      </c>
      <c r="AC230" s="12">
        <f t="shared" si="116"/>
        <v>2</v>
      </c>
      <c r="AD230" s="12">
        <f t="shared" si="117"/>
        <v>2</v>
      </c>
    </row>
    <row r="231" spans="1:30" ht="17.100000000000001" x14ac:dyDescent="0.45">
      <c r="A231" s="12">
        <v>191124</v>
      </c>
      <c r="B231" s="44">
        <v>0.39583333333333331</v>
      </c>
      <c r="C231" s="3" t="s">
        <v>265</v>
      </c>
      <c r="D231" s="5" t="s">
        <v>264</v>
      </c>
      <c r="E231" s="12">
        <v>28</v>
      </c>
      <c r="F231" s="12">
        <v>27</v>
      </c>
      <c r="G231" s="12">
        <v>37</v>
      </c>
      <c r="H231" s="12">
        <v>21</v>
      </c>
      <c r="I231" s="12"/>
      <c r="J231" s="12">
        <v>13</v>
      </c>
      <c r="K231" s="12">
        <v>22</v>
      </c>
      <c r="L231" s="12">
        <v>24</v>
      </c>
      <c r="M231" s="12">
        <v>27</v>
      </c>
      <c r="O231" s="12">
        <f t="shared" si="105"/>
        <v>113</v>
      </c>
      <c r="P231" s="12">
        <f t="shared" si="106"/>
        <v>86</v>
      </c>
      <c r="Q231" s="12" t="str">
        <f t="shared" si="107"/>
        <v>HW</v>
      </c>
      <c r="R231" s="12" t="str">
        <f t="shared" si="108"/>
        <v>HW</v>
      </c>
      <c r="S231" s="12" t="str">
        <f t="shared" si="109"/>
        <v>HW</v>
      </c>
      <c r="T231" s="12" t="str">
        <f t="shared" si="110"/>
        <v>HL</v>
      </c>
      <c r="U231" s="12" t="str">
        <f t="shared" si="111"/>
        <v>U</v>
      </c>
      <c r="V231" s="12" t="str">
        <f t="shared" si="112"/>
        <v>U</v>
      </c>
      <c r="W231" s="12" t="str">
        <f t="shared" si="113"/>
        <v>O</v>
      </c>
      <c r="X231" s="12" t="str">
        <f t="shared" si="114"/>
        <v>U</v>
      </c>
      <c r="Z231" s="3">
        <v>54.5</v>
      </c>
      <c r="AB231" s="12" t="str">
        <f t="shared" si="115"/>
        <v>PHI/MIA</v>
      </c>
      <c r="AC231" s="12">
        <f t="shared" si="116"/>
        <v>1</v>
      </c>
      <c r="AD231" s="12">
        <f t="shared" si="117"/>
        <v>3</v>
      </c>
    </row>
    <row r="232" spans="1:30" ht="17.100000000000001" x14ac:dyDescent="0.45">
      <c r="A232" s="12">
        <v>191124</v>
      </c>
      <c r="B232" s="44">
        <v>0.41666666666666669</v>
      </c>
      <c r="C232" s="3" t="s">
        <v>270</v>
      </c>
      <c r="D232" s="5" t="s">
        <v>283</v>
      </c>
      <c r="E232" s="12">
        <v>19</v>
      </c>
      <c r="F232" s="12">
        <v>30</v>
      </c>
      <c r="G232" s="12">
        <v>27</v>
      </c>
      <c r="H232" s="12">
        <v>34</v>
      </c>
      <c r="I232" s="12"/>
      <c r="J232" s="12">
        <v>19</v>
      </c>
      <c r="K232" s="12">
        <v>23</v>
      </c>
      <c r="L232" s="12">
        <v>27</v>
      </c>
      <c r="M232" s="12">
        <v>35</v>
      </c>
      <c r="O232" s="12">
        <f t="shared" si="105"/>
        <v>110</v>
      </c>
      <c r="P232" s="12">
        <f t="shared" si="106"/>
        <v>104</v>
      </c>
      <c r="Q232" s="12" t="str">
        <f t="shared" si="107"/>
        <v>TT</v>
      </c>
      <c r="R232" s="12" t="str">
        <f t="shared" si="108"/>
        <v>HW</v>
      </c>
      <c r="S232" s="12" t="str">
        <f t="shared" si="109"/>
        <v>TT</v>
      </c>
      <c r="T232" s="12" t="str">
        <f t="shared" si="110"/>
        <v>HL</v>
      </c>
      <c r="U232" s="12" t="str">
        <f t="shared" si="111"/>
        <v>U</v>
      </c>
      <c r="V232" s="12" t="str">
        <f t="shared" si="112"/>
        <v>U</v>
      </c>
      <c r="W232" s="12" t="str">
        <f t="shared" si="113"/>
        <v>U</v>
      </c>
      <c r="X232" s="12" t="str">
        <f t="shared" si="114"/>
        <v>O</v>
      </c>
      <c r="Z232" s="3">
        <v>55</v>
      </c>
      <c r="AB232" s="12" t="str">
        <f t="shared" si="115"/>
        <v>CLE/POR</v>
      </c>
      <c r="AC232" s="12">
        <f t="shared" si="116"/>
        <v>1</v>
      </c>
      <c r="AD232" s="12">
        <f t="shared" si="117"/>
        <v>3</v>
      </c>
    </row>
    <row r="233" spans="1:30" ht="17.100000000000001" x14ac:dyDescent="0.45">
      <c r="A233" s="12">
        <v>191124</v>
      </c>
      <c r="B233" s="44">
        <v>0.41666666666666669</v>
      </c>
      <c r="C233" s="3" t="s">
        <v>284</v>
      </c>
      <c r="D233" s="5" t="s">
        <v>268</v>
      </c>
      <c r="E233" s="12">
        <v>35</v>
      </c>
      <c r="F233" s="12">
        <v>28</v>
      </c>
      <c r="G233" s="12">
        <v>21</v>
      </c>
      <c r="H233" s="12">
        <v>24</v>
      </c>
      <c r="I233" s="12"/>
      <c r="J233" s="12">
        <v>25</v>
      </c>
      <c r="K233" s="12">
        <v>30</v>
      </c>
      <c r="L233" s="12">
        <v>30</v>
      </c>
      <c r="M233" s="12">
        <v>24</v>
      </c>
      <c r="O233" s="12">
        <f t="shared" si="105"/>
        <v>108</v>
      </c>
      <c r="P233" s="12">
        <f t="shared" si="106"/>
        <v>109</v>
      </c>
      <c r="Q233" s="12" t="str">
        <f t="shared" si="107"/>
        <v>HW</v>
      </c>
      <c r="R233" s="12" t="str">
        <f t="shared" si="108"/>
        <v>HL</v>
      </c>
      <c r="S233" s="12" t="str">
        <f t="shared" si="109"/>
        <v>HL</v>
      </c>
      <c r="T233" s="12" t="str">
        <f t="shared" si="110"/>
        <v>TT</v>
      </c>
      <c r="U233" s="12" t="str">
        <f t="shared" si="111"/>
        <v>O</v>
      </c>
      <c r="V233" s="12" t="str">
        <f t="shared" si="112"/>
        <v>O</v>
      </c>
      <c r="W233" s="12" t="str">
        <f t="shared" si="113"/>
        <v>U</v>
      </c>
      <c r="X233" s="12" t="str">
        <f t="shared" si="114"/>
        <v>U</v>
      </c>
      <c r="Z233" s="3">
        <v>57.5</v>
      </c>
      <c r="AB233" s="12" t="str">
        <f t="shared" si="115"/>
        <v>MEM/LAL</v>
      </c>
      <c r="AC233" s="12">
        <f t="shared" si="116"/>
        <v>2</v>
      </c>
      <c r="AD233" s="12">
        <f t="shared" si="117"/>
        <v>2</v>
      </c>
    </row>
    <row r="234" spans="1:30" ht="17.100000000000001" x14ac:dyDescent="0.45">
      <c r="A234" s="12">
        <v>191124</v>
      </c>
      <c r="B234" s="44">
        <v>0.4375</v>
      </c>
      <c r="C234" s="3" t="s">
        <v>285</v>
      </c>
      <c r="D234" s="5" t="s">
        <v>257</v>
      </c>
      <c r="E234" s="12">
        <v>27</v>
      </c>
      <c r="F234" s="12">
        <v>27</v>
      </c>
      <c r="G234" s="12">
        <v>23</v>
      </c>
      <c r="H234" s="12">
        <v>27</v>
      </c>
      <c r="I234" s="12"/>
      <c r="J234" s="12">
        <v>24</v>
      </c>
      <c r="K234" s="12">
        <v>23</v>
      </c>
      <c r="L234" s="12">
        <v>22</v>
      </c>
      <c r="M234" s="12">
        <v>21</v>
      </c>
      <c r="O234" s="12">
        <f t="shared" si="105"/>
        <v>104</v>
      </c>
      <c r="P234" s="12">
        <f t="shared" si="106"/>
        <v>90</v>
      </c>
      <c r="Q234" s="12" t="str">
        <f t="shared" si="107"/>
        <v>HW</v>
      </c>
      <c r="R234" s="12" t="str">
        <f t="shared" si="108"/>
        <v>HW</v>
      </c>
      <c r="S234" s="12" t="str">
        <f t="shared" si="109"/>
        <v>HW</v>
      </c>
      <c r="T234" s="12" t="str">
        <f t="shared" si="110"/>
        <v>HW</v>
      </c>
      <c r="U234" s="12" t="str">
        <f t="shared" si="111"/>
        <v>U</v>
      </c>
      <c r="V234" s="12" t="str">
        <f t="shared" si="112"/>
        <v>U</v>
      </c>
      <c r="W234" s="12" t="str">
        <f t="shared" si="113"/>
        <v>U</v>
      </c>
      <c r="X234" s="12" t="str">
        <f t="shared" si="114"/>
        <v>U</v>
      </c>
      <c r="Z234" s="3">
        <v>58</v>
      </c>
      <c r="AB234" s="12" t="str">
        <f t="shared" si="115"/>
        <v>MIL/DET</v>
      </c>
      <c r="AC234" s="12">
        <f t="shared" si="116"/>
        <v>0</v>
      </c>
      <c r="AD234" s="12">
        <f t="shared" si="117"/>
        <v>4</v>
      </c>
    </row>
    <row r="235" spans="1:30" ht="17.100000000000001" x14ac:dyDescent="0.45">
      <c r="A235" s="12">
        <v>191124</v>
      </c>
      <c r="B235" s="44">
        <v>0.45833333333333331</v>
      </c>
      <c r="C235" s="3" t="s">
        <v>273</v>
      </c>
      <c r="D235" s="5" t="s">
        <v>286</v>
      </c>
      <c r="E235" s="12">
        <v>44</v>
      </c>
      <c r="F235" s="12">
        <v>30</v>
      </c>
      <c r="G235" s="12">
        <v>24</v>
      </c>
      <c r="H235" s="12">
        <v>30</v>
      </c>
      <c r="I235" s="12"/>
      <c r="J235" s="12">
        <v>31</v>
      </c>
      <c r="K235" s="12">
        <v>23</v>
      </c>
      <c r="L235" s="12">
        <v>34</v>
      </c>
      <c r="M235" s="12">
        <v>32</v>
      </c>
      <c r="O235" s="12">
        <f t="shared" si="105"/>
        <v>128</v>
      </c>
      <c r="P235" s="12">
        <f t="shared" si="106"/>
        <v>120</v>
      </c>
      <c r="Q235" s="12" t="str">
        <f t="shared" si="107"/>
        <v>HW</v>
      </c>
      <c r="R235" s="12" t="str">
        <f t="shared" si="108"/>
        <v>HW</v>
      </c>
      <c r="S235" s="12" t="str">
        <f t="shared" si="109"/>
        <v>HL</v>
      </c>
      <c r="T235" s="12" t="str">
        <f t="shared" si="110"/>
        <v>HL</v>
      </c>
      <c r="U235" s="12" t="str">
        <f t="shared" si="111"/>
        <v>O</v>
      </c>
      <c r="V235" s="12" t="str">
        <f t="shared" si="112"/>
        <v>U</v>
      </c>
      <c r="W235" s="12" t="str">
        <f t="shared" si="113"/>
        <v>O</v>
      </c>
      <c r="X235" s="12" t="str">
        <f t="shared" si="114"/>
        <v>O</v>
      </c>
      <c r="Z235" s="3">
        <v>57</v>
      </c>
      <c r="AB235" s="12" t="str">
        <f t="shared" si="115"/>
        <v>UTA/NO</v>
      </c>
      <c r="AC235" s="12">
        <f t="shared" si="116"/>
        <v>3</v>
      </c>
      <c r="AD235" s="12">
        <f t="shared" si="117"/>
        <v>1</v>
      </c>
    </row>
    <row r="236" spans="1:30" ht="17.100000000000001" x14ac:dyDescent="0.45">
      <c r="A236" s="12">
        <v>191125</v>
      </c>
      <c r="B236" s="44">
        <v>0.22916666666666666</v>
      </c>
      <c r="C236" s="3" t="s">
        <v>276</v>
      </c>
      <c r="D236" s="5" t="s">
        <v>269</v>
      </c>
      <c r="E236" s="12">
        <v>29</v>
      </c>
      <c r="F236" s="12">
        <v>31</v>
      </c>
      <c r="G236" s="12">
        <v>35</v>
      </c>
      <c r="H236" s="12">
        <v>28</v>
      </c>
      <c r="I236" s="12"/>
      <c r="J236" s="12">
        <v>45</v>
      </c>
      <c r="K236" s="12">
        <v>33</v>
      </c>
      <c r="L236" s="12">
        <v>27</v>
      </c>
      <c r="M236" s="12">
        <v>32</v>
      </c>
      <c r="O236" s="12">
        <f t="shared" si="105"/>
        <v>123</v>
      </c>
      <c r="P236" s="12">
        <f t="shared" si="106"/>
        <v>137</v>
      </c>
      <c r="Q236" s="12" t="str">
        <f t="shared" si="107"/>
        <v>HL</v>
      </c>
      <c r="R236" s="12" t="str">
        <f t="shared" si="108"/>
        <v>HL</v>
      </c>
      <c r="S236" s="12" t="str">
        <f t="shared" si="109"/>
        <v>HW</v>
      </c>
      <c r="T236" s="12" t="str">
        <f t="shared" si="110"/>
        <v>HL</v>
      </c>
      <c r="U236" s="12" t="str">
        <f t="shared" si="111"/>
        <v>O</v>
      </c>
      <c r="V236" s="12" t="str">
        <f t="shared" si="112"/>
        <v>O</v>
      </c>
      <c r="W236" s="12" t="str">
        <f t="shared" si="113"/>
        <v>O</v>
      </c>
      <c r="X236" s="12" t="str">
        <f t="shared" si="114"/>
        <v>O</v>
      </c>
      <c r="Z236" s="3">
        <v>59.5</v>
      </c>
      <c r="AB236" s="12" t="str">
        <f t="shared" si="115"/>
        <v>HOU/DAL</v>
      </c>
      <c r="AC236" s="12">
        <f t="shared" si="116"/>
        <v>4</v>
      </c>
      <c r="AD236" s="12">
        <f t="shared" si="117"/>
        <v>0</v>
      </c>
    </row>
    <row r="237" spans="1:30" ht="17.100000000000001" x14ac:dyDescent="0.45">
      <c r="A237" s="12">
        <v>191125</v>
      </c>
      <c r="B237" s="44">
        <v>0.33333333333333331</v>
      </c>
      <c r="C237" s="3" t="s">
        <v>282</v>
      </c>
      <c r="D237" s="5" t="s">
        <v>261</v>
      </c>
      <c r="E237" s="12">
        <v>22</v>
      </c>
      <c r="F237" s="12">
        <v>24</v>
      </c>
      <c r="G237" s="12">
        <v>26</v>
      </c>
      <c r="H237" s="12">
        <v>29</v>
      </c>
      <c r="I237" s="12"/>
      <c r="J237" s="12">
        <v>29</v>
      </c>
      <c r="K237" s="12">
        <v>23</v>
      </c>
      <c r="L237" s="12">
        <v>30</v>
      </c>
      <c r="M237" s="12">
        <v>21</v>
      </c>
      <c r="O237" s="12">
        <f t="shared" si="105"/>
        <v>101</v>
      </c>
      <c r="P237" s="12">
        <f t="shared" si="106"/>
        <v>103</v>
      </c>
      <c r="Q237" s="12" t="str">
        <f t="shared" si="107"/>
        <v>HL</v>
      </c>
      <c r="R237" s="12" t="str">
        <f t="shared" si="108"/>
        <v>HW</v>
      </c>
      <c r="S237" s="12" t="str">
        <f t="shared" si="109"/>
        <v>HL</v>
      </c>
      <c r="T237" s="12" t="str">
        <f t="shared" si="110"/>
        <v>HW</v>
      </c>
      <c r="U237" s="12" t="str">
        <f t="shared" si="111"/>
        <v>U</v>
      </c>
      <c r="V237" s="12" t="str">
        <f t="shared" si="112"/>
        <v>U</v>
      </c>
      <c r="W237" s="12" t="str">
        <f t="shared" si="113"/>
        <v>O</v>
      </c>
      <c r="X237" s="12" t="str">
        <f t="shared" si="114"/>
        <v>U</v>
      </c>
      <c r="Z237" s="3">
        <v>52</v>
      </c>
      <c r="AB237" s="12" t="str">
        <f t="shared" si="115"/>
        <v>NYK/BKN</v>
      </c>
      <c r="AC237" s="12">
        <f t="shared" si="116"/>
        <v>1</v>
      </c>
      <c r="AD237" s="12">
        <f t="shared" si="117"/>
        <v>3</v>
      </c>
    </row>
    <row r="238" spans="1:30" ht="17.100000000000001" x14ac:dyDescent="0.45">
      <c r="A238" s="12">
        <v>191125</v>
      </c>
      <c r="B238" s="44">
        <v>0.33333333333333331</v>
      </c>
      <c r="C238" s="3" t="s">
        <v>259</v>
      </c>
      <c r="D238" s="5" t="s">
        <v>262</v>
      </c>
      <c r="E238" s="12">
        <v>27</v>
      </c>
      <c r="F238" s="12">
        <v>30</v>
      </c>
      <c r="G238" s="12">
        <v>28</v>
      </c>
      <c r="H238" s="12">
        <v>21</v>
      </c>
      <c r="I238" s="12"/>
      <c r="J238" s="12">
        <v>24</v>
      </c>
      <c r="K238" s="12">
        <v>33</v>
      </c>
      <c r="L238" s="12">
        <v>33</v>
      </c>
      <c r="M238" s="12">
        <v>23</v>
      </c>
      <c r="O238" s="12">
        <f t="shared" si="105"/>
        <v>106</v>
      </c>
      <c r="P238" s="12">
        <f t="shared" si="106"/>
        <v>113</v>
      </c>
      <c r="Q238" s="12" t="str">
        <f t="shared" si="107"/>
        <v>HW</v>
      </c>
      <c r="R238" s="12" t="str">
        <f t="shared" si="108"/>
        <v>HL</v>
      </c>
      <c r="S238" s="12" t="str">
        <f t="shared" si="109"/>
        <v>HL</v>
      </c>
      <c r="T238" s="12" t="str">
        <f t="shared" si="110"/>
        <v>HL</v>
      </c>
      <c r="U238" s="12" t="str">
        <f t="shared" si="111"/>
        <v>U</v>
      </c>
      <c r="V238" s="12" t="str">
        <f t="shared" si="112"/>
        <v>O</v>
      </c>
      <c r="W238" s="12" t="str">
        <f t="shared" si="113"/>
        <v>O</v>
      </c>
      <c r="X238" s="12" t="str">
        <f t="shared" si="114"/>
        <v>U</v>
      </c>
      <c r="Z238" s="3">
        <v>60.5</v>
      </c>
      <c r="AB238" s="12" t="str">
        <f t="shared" si="115"/>
        <v>WAS/SAC</v>
      </c>
      <c r="AC238" s="12">
        <f t="shared" si="116"/>
        <v>2</v>
      </c>
      <c r="AD238" s="12">
        <f t="shared" si="117"/>
        <v>2</v>
      </c>
    </row>
    <row r="239" spans="1:30" ht="17.100000000000001" x14ac:dyDescent="0.45">
      <c r="A239" s="12">
        <v>191125</v>
      </c>
      <c r="B239" s="44">
        <v>0.41666666666666669</v>
      </c>
      <c r="C239" s="3" t="s">
        <v>271</v>
      </c>
      <c r="D239" s="5" t="s">
        <v>278</v>
      </c>
      <c r="E239" s="12">
        <v>28</v>
      </c>
      <c r="F239" s="12">
        <v>24</v>
      </c>
      <c r="G239" s="12">
        <v>27</v>
      </c>
      <c r="H239" s="12">
        <v>37</v>
      </c>
      <c r="I239" s="12"/>
      <c r="J239" s="12">
        <v>28</v>
      </c>
      <c r="K239" s="12">
        <v>29</v>
      </c>
      <c r="L239" s="12">
        <v>20</v>
      </c>
      <c r="M239" s="12">
        <v>27</v>
      </c>
      <c r="O239" s="12">
        <f t="shared" si="105"/>
        <v>116</v>
      </c>
      <c r="P239" s="12">
        <f t="shared" si="106"/>
        <v>104</v>
      </c>
      <c r="Q239" s="12" t="str">
        <f t="shared" si="107"/>
        <v>TT</v>
      </c>
      <c r="R239" s="12" t="str">
        <f t="shared" si="108"/>
        <v>HL</v>
      </c>
      <c r="S239" s="12" t="str">
        <f t="shared" si="109"/>
        <v>HW</v>
      </c>
      <c r="T239" s="12" t="str">
        <f t="shared" si="110"/>
        <v>HW</v>
      </c>
      <c r="U239" s="12" t="str">
        <f t="shared" si="111"/>
        <v>O</v>
      </c>
      <c r="V239" s="12" t="str">
        <f t="shared" si="112"/>
        <v>O</v>
      </c>
      <c r="W239" s="12" t="str">
        <f t="shared" si="113"/>
        <v>U</v>
      </c>
      <c r="X239" s="12" t="str">
        <f t="shared" si="114"/>
        <v>O</v>
      </c>
      <c r="Z239" s="3">
        <v>52</v>
      </c>
      <c r="AB239" s="12" t="str">
        <f t="shared" si="115"/>
        <v>DEN/PHO</v>
      </c>
      <c r="AC239" s="12">
        <f t="shared" si="116"/>
        <v>3</v>
      </c>
      <c r="AD239" s="12">
        <f t="shared" si="117"/>
        <v>1</v>
      </c>
    </row>
    <row r="240" spans="1:30" ht="17.100000000000001" x14ac:dyDescent="0.45">
      <c r="A240" s="12">
        <v>191125</v>
      </c>
      <c r="B240" s="44">
        <v>0.45833333333333331</v>
      </c>
      <c r="C240" s="3" t="s">
        <v>275</v>
      </c>
      <c r="D240" s="5" t="s">
        <v>286</v>
      </c>
      <c r="E240" s="12">
        <v>40</v>
      </c>
      <c r="F240" s="12">
        <v>32</v>
      </c>
      <c r="G240" s="12">
        <v>28</v>
      </c>
      <c r="H240" s="12">
        <v>34</v>
      </c>
      <c r="I240" s="12"/>
      <c r="J240" s="12">
        <v>27</v>
      </c>
      <c r="K240" s="12">
        <v>29</v>
      </c>
      <c r="L240" s="12">
        <v>31</v>
      </c>
      <c r="M240" s="12">
        <v>22</v>
      </c>
      <c r="O240" s="12">
        <f t="shared" si="105"/>
        <v>134</v>
      </c>
      <c r="P240" s="12">
        <f t="shared" si="106"/>
        <v>109</v>
      </c>
      <c r="Q240" s="12" t="str">
        <f t="shared" si="107"/>
        <v>HW</v>
      </c>
      <c r="R240" s="12" t="str">
        <f t="shared" si="108"/>
        <v>HW</v>
      </c>
      <c r="S240" s="12" t="str">
        <f t="shared" si="109"/>
        <v>HL</v>
      </c>
      <c r="T240" s="12" t="str">
        <f t="shared" si="110"/>
        <v>HW</v>
      </c>
      <c r="U240" s="12" t="str">
        <f t="shared" si="111"/>
        <v>O</v>
      </c>
      <c r="V240" s="12" t="str">
        <f t="shared" si="112"/>
        <v>O</v>
      </c>
      <c r="W240" s="12" t="str">
        <f t="shared" si="113"/>
        <v>U</v>
      </c>
      <c r="X240" s="12" t="str">
        <f t="shared" si="114"/>
        <v>U</v>
      </c>
      <c r="Z240" s="3">
        <v>59.5</v>
      </c>
      <c r="AB240" s="12" t="str">
        <f t="shared" si="115"/>
        <v>LAC/NO</v>
      </c>
      <c r="AC240" s="12">
        <f t="shared" si="116"/>
        <v>2</v>
      </c>
      <c r="AD240" s="12">
        <f t="shared" si="117"/>
        <v>2</v>
      </c>
    </row>
    <row r="241" spans="1:30" ht="17.100000000000001" x14ac:dyDescent="0.45">
      <c r="A241" s="12">
        <v>191126</v>
      </c>
      <c r="B241" s="44">
        <v>0.375</v>
      </c>
      <c r="C241" s="3" t="s">
        <v>270</v>
      </c>
      <c r="D241" s="5" t="s">
        <v>261</v>
      </c>
      <c r="E241" s="12">
        <v>26</v>
      </c>
      <c r="F241" s="12">
        <v>25</v>
      </c>
      <c r="G241" s="12">
        <v>24</v>
      </c>
      <c r="H241" s="12">
        <v>31</v>
      </c>
      <c r="I241" s="12"/>
      <c r="J241" s="12">
        <v>25</v>
      </c>
      <c r="K241" s="12">
        <v>27</v>
      </c>
      <c r="L241" s="12">
        <v>29</v>
      </c>
      <c r="M241" s="12">
        <v>27</v>
      </c>
      <c r="O241" s="12">
        <f t="shared" si="105"/>
        <v>106</v>
      </c>
      <c r="P241" s="12">
        <f t="shared" si="106"/>
        <v>108</v>
      </c>
      <c r="Q241" s="12" t="str">
        <f t="shared" si="107"/>
        <v>HW</v>
      </c>
      <c r="R241" s="12" t="str">
        <f t="shared" si="108"/>
        <v>HL</v>
      </c>
      <c r="S241" s="12" t="str">
        <f t="shared" si="109"/>
        <v>HL</v>
      </c>
      <c r="T241" s="12" t="str">
        <f t="shared" si="110"/>
        <v>HW</v>
      </c>
      <c r="U241" s="12" t="str">
        <f t="shared" si="111"/>
        <v>U</v>
      </c>
      <c r="V241" s="12" t="str">
        <f t="shared" si="112"/>
        <v>U</v>
      </c>
      <c r="W241" s="12" t="str">
        <f t="shared" si="113"/>
        <v>T</v>
      </c>
      <c r="X241" s="12" t="str">
        <f t="shared" si="114"/>
        <v>O</v>
      </c>
      <c r="Z241" s="3">
        <v>53</v>
      </c>
      <c r="AB241" s="12" t="str">
        <f t="shared" si="115"/>
        <v>CLE/BKN</v>
      </c>
      <c r="AC241" s="12">
        <f t="shared" si="116"/>
        <v>1</v>
      </c>
      <c r="AD241" s="12">
        <f t="shared" si="117"/>
        <v>2</v>
      </c>
    </row>
    <row r="242" spans="1:30" ht="17.100000000000001" x14ac:dyDescent="0.45">
      <c r="A242" s="12">
        <v>191126</v>
      </c>
      <c r="B242" s="44">
        <v>0.375</v>
      </c>
      <c r="C242" s="3" t="s">
        <v>257</v>
      </c>
      <c r="D242" s="5" t="s">
        <v>280</v>
      </c>
      <c r="E242" s="12">
        <v>23</v>
      </c>
      <c r="F242" s="12">
        <v>30</v>
      </c>
      <c r="G242" s="12">
        <v>25</v>
      </c>
      <c r="H242" s="12">
        <v>25</v>
      </c>
      <c r="I242" s="12"/>
      <c r="J242" s="12">
        <v>31</v>
      </c>
      <c r="K242" s="12">
        <v>24</v>
      </c>
      <c r="L242" s="12">
        <v>15</v>
      </c>
      <c r="M242" s="12">
        <v>18</v>
      </c>
      <c r="O242" s="12">
        <f t="shared" si="105"/>
        <v>103</v>
      </c>
      <c r="P242" s="12">
        <f t="shared" si="106"/>
        <v>88</v>
      </c>
      <c r="Q242" s="12" t="str">
        <f t="shared" si="107"/>
        <v>HL</v>
      </c>
      <c r="R242" s="12" t="str">
        <f t="shared" si="108"/>
        <v>HW</v>
      </c>
      <c r="S242" s="12" t="str">
        <f t="shared" si="109"/>
        <v>HW</v>
      </c>
      <c r="T242" s="12" t="str">
        <f t="shared" si="110"/>
        <v>HW</v>
      </c>
      <c r="U242" s="12" t="str">
        <f t="shared" si="111"/>
        <v>O</v>
      </c>
      <c r="V242" s="12" t="str">
        <f t="shared" si="112"/>
        <v>O</v>
      </c>
      <c r="W242" s="12" t="str">
        <f t="shared" si="113"/>
        <v>U</v>
      </c>
      <c r="X242" s="12" t="str">
        <f t="shared" si="114"/>
        <v>U</v>
      </c>
      <c r="Z242" s="3">
        <v>53.5</v>
      </c>
      <c r="AB242" s="12" t="str">
        <f t="shared" si="115"/>
        <v>DET/ORL</v>
      </c>
      <c r="AC242" s="12">
        <f t="shared" si="116"/>
        <v>2</v>
      </c>
      <c r="AD242" s="12">
        <f t="shared" si="117"/>
        <v>2</v>
      </c>
    </row>
    <row r="243" spans="1:30" ht="17.100000000000001" x14ac:dyDescent="0.45">
      <c r="A243" s="12">
        <v>191126</v>
      </c>
      <c r="B243" s="44">
        <v>0.375</v>
      </c>
      <c r="C243" s="3" t="s">
        <v>279</v>
      </c>
      <c r="D243" s="5" t="s">
        <v>284</v>
      </c>
      <c r="E243" s="12">
        <v>36</v>
      </c>
      <c r="F243" s="12">
        <v>31</v>
      </c>
      <c r="G243" s="12">
        <v>37</v>
      </c>
      <c r="H243" s="12">
        <v>22</v>
      </c>
      <c r="I243" s="12"/>
      <c r="J243" s="12">
        <v>27</v>
      </c>
      <c r="K243" s="12">
        <v>29</v>
      </c>
      <c r="L243" s="12">
        <v>27</v>
      </c>
      <c r="M243" s="12">
        <v>31</v>
      </c>
      <c r="O243" s="12">
        <f t="shared" si="105"/>
        <v>126</v>
      </c>
      <c r="P243" s="12">
        <f t="shared" si="106"/>
        <v>114</v>
      </c>
      <c r="Q243" s="12" t="str">
        <f t="shared" si="107"/>
        <v>HW</v>
      </c>
      <c r="R243" s="12" t="str">
        <f t="shared" si="108"/>
        <v>HW</v>
      </c>
      <c r="S243" s="12" t="str">
        <f t="shared" si="109"/>
        <v>HW</v>
      </c>
      <c r="T243" s="12" t="str">
        <f t="shared" si="110"/>
        <v>HL</v>
      </c>
      <c r="U243" s="12" t="str">
        <f t="shared" si="111"/>
        <v>O</v>
      </c>
      <c r="V243" s="12" t="str">
        <f t="shared" si="112"/>
        <v>O</v>
      </c>
      <c r="W243" s="12" t="str">
        <f t="shared" si="113"/>
        <v>O</v>
      </c>
      <c r="X243" s="12" t="str">
        <f t="shared" si="114"/>
        <v>U</v>
      </c>
      <c r="Z243" s="3">
        <v>53.5</v>
      </c>
      <c r="AB243" s="12" t="str">
        <f t="shared" si="115"/>
        <v>IND/MEM</v>
      </c>
      <c r="AC243" s="12">
        <f t="shared" si="116"/>
        <v>3</v>
      </c>
      <c r="AD243" s="12">
        <f t="shared" si="117"/>
        <v>1</v>
      </c>
    </row>
    <row r="244" spans="1:30" ht="17.100000000000001" x14ac:dyDescent="0.45">
      <c r="A244" s="12">
        <v>191126</v>
      </c>
      <c r="B244" s="44">
        <v>0.39583333333333331</v>
      </c>
      <c r="C244" s="3" t="s">
        <v>258</v>
      </c>
      <c r="D244" s="5" t="s">
        <v>277</v>
      </c>
      <c r="E244" s="12">
        <v>30</v>
      </c>
      <c r="F244" s="12">
        <v>34</v>
      </c>
      <c r="G244" s="12">
        <v>26</v>
      </c>
      <c r="H244" s="12">
        <v>23</v>
      </c>
      <c r="I244" s="12"/>
      <c r="J244" s="12">
        <v>38</v>
      </c>
      <c r="K244" s="12">
        <v>16</v>
      </c>
      <c r="L244" s="12">
        <v>39</v>
      </c>
      <c r="M244" s="12">
        <v>32</v>
      </c>
      <c r="O244" s="12">
        <f t="shared" si="105"/>
        <v>113</v>
      </c>
      <c r="P244" s="12">
        <f t="shared" si="106"/>
        <v>125</v>
      </c>
      <c r="Q244" s="12" t="str">
        <f t="shared" si="107"/>
        <v>HL</v>
      </c>
      <c r="R244" s="12" t="str">
        <f t="shared" si="108"/>
        <v>HW</v>
      </c>
      <c r="S244" s="12" t="str">
        <f t="shared" si="109"/>
        <v>HL</v>
      </c>
      <c r="T244" s="12" t="str">
        <f t="shared" si="110"/>
        <v>HL</v>
      </c>
      <c r="U244" s="12" t="str">
        <f t="shared" si="111"/>
        <v>O</v>
      </c>
      <c r="V244" s="12" t="str">
        <f t="shared" si="112"/>
        <v>U</v>
      </c>
      <c r="W244" s="12" t="str">
        <f t="shared" si="113"/>
        <v>O</v>
      </c>
      <c r="X244" s="12" t="str">
        <f t="shared" si="114"/>
        <v>U</v>
      </c>
      <c r="Z244" s="3">
        <v>60</v>
      </c>
      <c r="AB244" s="12" t="str">
        <f t="shared" si="115"/>
        <v>ATL/MIN</v>
      </c>
      <c r="AC244" s="12">
        <f t="shared" si="116"/>
        <v>2</v>
      </c>
      <c r="AD244" s="12">
        <f t="shared" si="117"/>
        <v>2</v>
      </c>
    </row>
    <row r="245" spans="1:30" ht="17.100000000000001" x14ac:dyDescent="0.45">
      <c r="A245" s="12">
        <v>191126</v>
      </c>
      <c r="B245" s="44">
        <v>0.39583333333333331</v>
      </c>
      <c r="C245" s="3" t="s">
        <v>272</v>
      </c>
      <c r="D245" s="5" t="s">
        <v>262</v>
      </c>
      <c r="E245" s="12">
        <v>19</v>
      </c>
      <c r="F245" s="12">
        <v>34</v>
      </c>
      <c r="G245" s="12">
        <v>22</v>
      </c>
      <c r="H245" s="12">
        <v>28</v>
      </c>
      <c r="I245" s="12"/>
      <c r="J245" s="12">
        <v>22</v>
      </c>
      <c r="K245" s="12">
        <v>24</v>
      </c>
      <c r="L245" s="12">
        <v>29</v>
      </c>
      <c r="M245" s="12">
        <v>27</v>
      </c>
      <c r="O245" s="12">
        <f t="shared" si="105"/>
        <v>103</v>
      </c>
      <c r="P245" s="12">
        <f t="shared" si="106"/>
        <v>102</v>
      </c>
      <c r="Q245" s="12" t="str">
        <f t="shared" si="107"/>
        <v>HL</v>
      </c>
      <c r="R245" s="12" t="str">
        <f t="shared" si="108"/>
        <v>HW</v>
      </c>
      <c r="S245" s="12" t="str">
        <f t="shared" si="109"/>
        <v>HL</v>
      </c>
      <c r="T245" s="12" t="str">
        <f t="shared" si="110"/>
        <v>HW</v>
      </c>
      <c r="U245" s="12" t="str">
        <f t="shared" si="111"/>
        <v>U</v>
      </c>
      <c r="V245" s="12" t="str">
        <f t="shared" si="112"/>
        <v>O</v>
      </c>
      <c r="W245" s="12" t="str">
        <f t="shared" si="113"/>
        <v>U</v>
      </c>
      <c r="X245" s="12" t="str">
        <f t="shared" si="114"/>
        <v>O</v>
      </c>
      <c r="Z245" s="3">
        <v>52.5</v>
      </c>
      <c r="AB245" s="12" t="str">
        <f t="shared" si="115"/>
        <v>BOS/SAC</v>
      </c>
      <c r="AC245" s="12">
        <f t="shared" si="116"/>
        <v>2</v>
      </c>
      <c r="AD245" s="12">
        <f t="shared" si="117"/>
        <v>2</v>
      </c>
    </row>
    <row r="246" spans="1:30" ht="17.100000000000001" x14ac:dyDescent="0.45">
      <c r="A246" s="12">
        <v>191126</v>
      </c>
      <c r="B246" s="44">
        <v>0.39583333333333331</v>
      </c>
      <c r="C246" s="3" t="s">
        <v>264</v>
      </c>
      <c r="D246" s="5" t="s">
        <v>260</v>
      </c>
      <c r="E246" s="12">
        <v>36</v>
      </c>
      <c r="F246" s="12">
        <v>33</v>
      </c>
      <c r="G246" s="12">
        <v>29</v>
      </c>
      <c r="H246" s="12">
        <v>19</v>
      </c>
      <c r="I246" s="12"/>
      <c r="J246" s="12">
        <v>31</v>
      </c>
      <c r="K246" s="12">
        <v>27</v>
      </c>
      <c r="L246" s="12">
        <v>24</v>
      </c>
      <c r="M246" s="12">
        <v>18</v>
      </c>
      <c r="O246" s="12">
        <f t="shared" si="105"/>
        <v>117</v>
      </c>
      <c r="P246" s="12">
        <f t="shared" si="106"/>
        <v>100</v>
      </c>
      <c r="Q246" s="12" t="str">
        <f t="shared" si="107"/>
        <v>HW</v>
      </c>
      <c r="R246" s="12" t="str">
        <f t="shared" si="108"/>
        <v>HW</v>
      </c>
      <c r="S246" s="12" t="str">
        <f t="shared" si="109"/>
        <v>HW</v>
      </c>
      <c r="T246" s="12" t="str">
        <f t="shared" si="110"/>
        <v>HW</v>
      </c>
      <c r="U246" s="12" t="str">
        <f t="shared" si="111"/>
        <v>O</v>
      </c>
      <c r="V246" s="12" t="str">
        <f t="shared" si="112"/>
        <v>O</v>
      </c>
      <c r="W246" s="12" t="str">
        <f t="shared" si="113"/>
        <v>U</v>
      </c>
      <c r="X246" s="12" t="str">
        <f t="shared" si="114"/>
        <v>U</v>
      </c>
      <c r="Z246" s="3">
        <v>55</v>
      </c>
      <c r="AB246" s="12" t="str">
        <f t="shared" si="115"/>
        <v>MIA/CHA</v>
      </c>
      <c r="AC246" s="12">
        <f t="shared" si="116"/>
        <v>2</v>
      </c>
      <c r="AD246" s="12">
        <f t="shared" si="117"/>
        <v>2</v>
      </c>
    </row>
    <row r="247" spans="1:30" ht="17.100000000000001" x14ac:dyDescent="0.45">
      <c r="A247" s="12">
        <v>191126</v>
      </c>
      <c r="B247" s="44">
        <v>0.39583333333333331</v>
      </c>
      <c r="C247" s="3" t="s">
        <v>281</v>
      </c>
      <c r="D247" s="5" t="s">
        <v>265</v>
      </c>
      <c r="E247" s="12">
        <v>28</v>
      </c>
      <c r="F247" s="12">
        <v>23</v>
      </c>
      <c r="G247" s="12">
        <v>30</v>
      </c>
      <c r="H247" s="12">
        <v>20</v>
      </c>
      <c r="I247" s="12"/>
      <c r="J247" s="12">
        <v>34</v>
      </c>
      <c r="K247" s="12">
        <v>15</v>
      </c>
      <c r="L247" s="12">
        <v>31</v>
      </c>
      <c r="M247" s="12">
        <v>16</v>
      </c>
      <c r="O247" s="12">
        <f t="shared" si="105"/>
        <v>101</v>
      </c>
      <c r="P247" s="12">
        <f t="shared" si="106"/>
        <v>96</v>
      </c>
      <c r="Q247" s="12" t="str">
        <f t="shared" si="107"/>
        <v>HL</v>
      </c>
      <c r="R247" s="12" t="str">
        <f t="shared" si="108"/>
        <v>HW</v>
      </c>
      <c r="S247" s="12" t="str">
        <f t="shared" si="109"/>
        <v>HL</v>
      </c>
      <c r="T247" s="12" t="str">
        <f t="shared" si="110"/>
        <v>HW</v>
      </c>
      <c r="U247" s="12" t="str">
        <f t="shared" si="111"/>
        <v>O</v>
      </c>
      <c r="V247" s="12" t="str">
        <f t="shared" si="112"/>
        <v>U</v>
      </c>
      <c r="W247" s="12" t="str">
        <f t="shared" si="113"/>
        <v>O</v>
      </c>
      <c r="X247" s="12" t="str">
        <f t="shared" si="114"/>
        <v>U</v>
      </c>
      <c r="Z247" s="3">
        <v>52</v>
      </c>
      <c r="AB247" s="12" t="str">
        <f t="shared" si="115"/>
        <v>TOR/PHI</v>
      </c>
      <c r="AC247" s="12">
        <f t="shared" si="116"/>
        <v>2</v>
      </c>
      <c r="AD247" s="12">
        <f t="shared" si="117"/>
        <v>2</v>
      </c>
    </row>
    <row r="248" spans="1:30" ht="17.100000000000001" x14ac:dyDescent="0.45">
      <c r="A248" s="12">
        <v>191126</v>
      </c>
      <c r="B248" s="44">
        <v>0.41666666666666669</v>
      </c>
      <c r="C248" s="3" t="s">
        <v>263</v>
      </c>
      <c r="D248" s="5" t="s">
        <v>283</v>
      </c>
      <c r="E248" s="12">
        <v>28</v>
      </c>
      <c r="F248" s="12">
        <v>26</v>
      </c>
      <c r="G248" s="12">
        <v>18</v>
      </c>
      <c r="H248" s="12">
        <v>22</v>
      </c>
      <c r="I248" s="12"/>
      <c r="J248" s="12">
        <v>27</v>
      </c>
      <c r="K248" s="12">
        <v>35</v>
      </c>
      <c r="L248" s="12">
        <v>30</v>
      </c>
      <c r="M248" s="12">
        <v>25</v>
      </c>
      <c r="O248" s="12">
        <f t="shared" si="105"/>
        <v>94</v>
      </c>
      <c r="P248" s="12">
        <f t="shared" si="106"/>
        <v>117</v>
      </c>
      <c r="Q248" s="12" t="str">
        <f t="shared" si="107"/>
        <v>HW</v>
      </c>
      <c r="R248" s="12" t="str">
        <f t="shared" si="108"/>
        <v>HL</v>
      </c>
      <c r="S248" s="12" t="str">
        <f t="shared" si="109"/>
        <v>HL</v>
      </c>
      <c r="T248" s="12" t="str">
        <f t="shared" si="110"/>
        <v>HL</v>
      </c>
      <c r="U248" s="12" t="str">
        <f t="shared" si="111"/>
        <v>T</v>
      </c>
      <c r="V248" s="12" t="str">
        <f t="shared" si="112"/>
        <v>O</v>
      </c>
      <c r="W248" s="12" t="str">
        <f t="shared" si="113"/>
        <v>U</v>
      </c>
      <c r="X248" s="12" t="str">
        <f t="shared" si="114"/>
        <v>U</v>
      </c>
      <c r="Z248" s="3">
        <v>55</v>
      </c>
      <c r="AB248" s="12" t="str">
        <f t="shared" si="115"/>
        <v>CHI/POR</v>
      </c>
      <c r="AC248" s="12">
        <f t="shared" si="116"/>
        <v>1</v>
      </c>
      <c r="AD248" s="12">
        <f t="shared" si="117"/>
        <v>2</v>
      </c>
    </row>
    <row r="249" spans="1:30" ht="17.100000000000001" x14ac:dyDescent="0.45">
      <c r="A249" s="12">
        <v>191126</v>
      </c>
      <c r="B249" s="44">
        <v>0.41666666666666669</v>
      </c>
      <c r="C249" s="3" t="s">
        <v>285</v>
      </c>
      <c r="D249" s="5" t="s">
        <v>273</v>
      </c>
      <c r="E249" s="12">
        <v>23</v>
      </c>
      <c r="F249" s="12">
        <v>25</v>
      </c>
      <c r="G249" s="12">
        <v>42</v>
      </c>
      <c r="H249" s="12">
        <v>32</v>
      </c>
      <c r="I249" s="12"/>
      <c r="J249" s="12">
        <v>25</v>
      </c>
      <c r="K249" s="12">
        <v>32</v>
      </c>
      <c r="L249" s="12">
        <v>26</v>
      </c>
      <c r="M249" s="12">
        <v>35</v>
      </c>
      <c r="O249" s="12">
        <f t="shared" si="105"/>
        <v>122</v>
      </c>
      <c r="P249" s="12">
        <f t="shared" si="106"/>
        <v>118</v>
      </c>
      <c r="Q249" s="12" t="str">
        <f t="shared" si="107"/>
        <v>HL</v>
      </c>
      <c r="R249" s="12" t="str">
        <f t="shared" si="108"/>
        <v>HL</v>
      </c>
      <c r="S249" s="12" t="str">
        <f t="shared" si="109"/>
        <v>HW</v>
      </c>
      <c r="T249" s="12" t="str">
        <f t="shared" si="110"/>
        <v>HL</v>
      </c>
      <c r="U249" s="12" t="str">
        <f t="shared" si="111"/>
        <v>U</v>
      </c>
      <c r="V249" s="12" t="str">
        <f t="shared" si="112"/>
        <v>O</v>
      </c>
      <c r="W249" s="12" t="str">
        <f t="shared" si="113"/>
        <v>O</v>
      </c>
      <c r="X249" s="12" t="str">
        <f t="shared" si="114"/>
        <v>O</v>
      </c>
      <c r="Z249" s="3">
        <v>55.5</v>
      </c>
      <c r="AB249" s="12" t="str">
        <f t="shared" si="115"/>
        <v>MIL/UTA</v>
      </c>
      <c r="AC249" s="12">
        <f t="shared" si="116"/>
        <v>3</v>
      </c>
      <c r="AD249" s="12">
        <f t="shared" si="117"/>
        <v>1</v>
      </c>
    </row>
    <row r="250" spans="1:30" ht="17.100000000000001" x14ac:dyDescent="0.45">
      <c r="A250" s="12">
        <v>191126</v>
      </c>
      <c r="B250" s="44">
        <v>0.4375</v>
      </c>
      <c r="C250" s="3" t="s">
        <v>266</v>
      </c>
      <c r="D250" s="5" t="s">
        <v>268</v>
      </c>
      <c r="E250" s="12">
        <v>22</v>
      </c>
      <c r="F250" s="12">
        <v>34</v>
      </c>
      <c r="G250" s="12">
        <v>26</v>
      </c>
      <c r="H250" s="12">
        <v>22</v>
      </c>
      <c r="I250" s="12"/>
      <c r="J250" s="12">
        <v>25</v>
      </c>
      <c r="K250" s="12">
        <v>29</v>
      </c>
      <c r="L250" s="12">
        <v>32</v>
      </c>
      <c r="M250" s="12">
        <v>28</v>
      </c>
      <c r="O250" s="12">
        <f t="shared" si="105"/>
        <v>104</v>
      </c>
      <c r="P250" s="12">
        <f t="shared" si="106"/>
        <v>114</v>
      </c>
      <c r="Q250" s="12" t="str">
        <f t="shared" si="107"/>
        <v>HL</v>
      </c>
      <c r="R250" s="12" t="str">
        <f t="shared" si="108"/>
        <v>HW</v>
      </c>
      <c r="S250" s="12" t="str">
        <f t="shared" si="109"/>
        <v>HL</v>
      </c>
      <c r="T250" s="12" t="str">
        <f t="shared" si="110"/>
        <v>HL</v>
      </c>
      <c r="U250" s="12" t="str">
        <f t="shared" si="111"/>
        <v>U</v>
      </c>
      <c r="V250" s="12" t="str">
        <f t="shared" si="112"/>
        <v>O</v>
      </c>
      <c r="W250" s="12" t="str">
        <f t="shared" si="113"/>
        <v>O</v>
      </c>
      <c r="X250" s="12" t="str">
        <f t="shared" si="114"/>
        <v>U</v>
      </c>
      <c r="Z250" s="3">
        <v>57.5</v>
      </c>
      <c r="AB250" s="12" t="str">
        <f t="shared" si="115"/>
        <v>SAS/LAL</v>
      </c>
      <c r="AC250" s="12">
        <f t="shared" si="116"/>
        <v>2</v>
      </c>
      <c r="AD250" s="12">
        <f t="shared" si="117"/>
        <v>2</v>
      </c>
    </row>
    <row r="251" spans="1:30" ht="17.100000000000001" x14ac:dyDescent="0.45">
      <c r="A251" s="12">
        <v>191126</v>
      </c>
      <c r="B251" s="44">
        <v>0.4375</v>
      </c>
      <c r="C251" s="3" t="s">
        <v>274</v>
      </c>
      <c r="D251" s="5" t="s">
        <v>267</v>
      </c>
      <c r="E251" s="12">
        <v>28</v>
      </c>
      <c r="F251" s="12">
        <v>31</v>
      </c>
      <c r="G251" s="12">
        <v>24</v>
      </c>
      <c r="H251" s="12">
        <v>14</v>
      </c>
      <c r="I251" s="12"/>
      <c r="J251" s="12">
        <v>25</v>
      </c>
      <c r="K251" s="12">
        <v>28</v>
      </c>
      <c r="L251" s="12">
        <v>21</v>
      </c>
      <c r="M251" s="12">
        <v>26</v>
      </c>
      <c r="O251" s="12">
        <f t="shared" si="105"/>
        <v>97</v>
      </c>
      <c r="P251" s="12">
        <f t="shared" si="106"/>
        <v>100</v>
      </c>
      <c r="Q251" s="12" t="str">
        <f t="shared" si="107"/>
        <v>HW</v>
      </c>
      <c r="R251" s="12" t="str">
        <f t="shared" si="108"/>
        <v>HW</v>
      </c>
      <c r="S251" s="12" t="str">
        <f t="shared" si="109"/>
        <v>HW</v>
      </c>
      <c r="T251" s="12" t="str">
        <f t="shared" si="110"/>
        <v>HL</v>
      </c>
      <c r="U251" s="12" t="str">
        <f t="shared" si="111"/>
        <v>U</v>
      </c>
      <c r="V251" s="12" t="str">
        <f t="shared" si="112"/>
        <v>O</v>
      </c>
      <c r="W251" s="12" t="str">
        <f t="shared" si="113"/>
        <v>U</v>
      </c>
      <c r="X251" s="12" t="str">
        <f t="shared" si="114"/>
        <v>U</v>
      </c>
      <c r="Z251" s="3">
        <v>55.5</v>
      </c>
      <c r="AB251" s="12" t="str">
        <f t="shared" si="115"/>
        <v>GS/OKC</v>
      </c>
      <c r="AC251" s="12">
        <f t="shared" si="116"/>
        <v>1</v>
      </c>
      <c r="AD251" s="12">
        <f t="shared" si="117"/>
        <v>3</v>
      </c>
    </row>
    <row r="252" spans="1:30" ht="17.100000000000001" x14ac:dyDescent="0.45">
      <c r="A252" s="12">
        <v>191127</v>
      </c>
      <c r="B252" s="44">
        <v>0.4375</v>
      </c>
      <c r="C252" s="3" t="s">
        <v>269</v>
      </c>
      <c r="D252" s="5" t="s">
        <v>275</v>
      </c>
      <c r="E252" s="12">
        <v>27</v>
      </c>
      <c r="F252" s="12">
        <v>19</v>
      </c>
      <c r="G252" s="12">
        <v>31</v>
      </c>
      <c r="H252" s="12">
        <v>22</v>
      </c>
      <c r="I252" s="12"/>
      <c r="J252" s="12">
        <v>34</v>
      </c>
      <c r="K252" s="12">
        <v>28</v>
      </c>
      <c r="L252" s="12">
        <v>31</v>
      </c>
      <c r="M252" s="12">
        <v>21</v>
      </c>
      <c r="O252" s="12">
        <f t="shared" si="105"/>
        <v>99</v>
      </c>
      <c r="P252" s="12">
        <f t="shared" si="106"/>
        <v>114</v>
      </c>
      <c r="Q252" s="12" t="str">
        <f t="shared" si="107"/>
        <v>HL</v>
      </c>
      <c r="R252" s="12" t="str">
        <f t="shared" si="108"/>
        <v>HL</v>
      </c>
      <c r="S252" s="12" t="str">
        <f t="shared" si="109"/>
        <v>TT</v>
      </c>
      <c r="T252" s="12" t="str">
        <f t="shared" si="110"/>
        <v>HW</v>
      </c>
      <c r="U252" s="12" t="str">
        <f t="shared" si="111"/>
        <v>O</v>
      </c>
      <c r="V252" s="12" t="str">
        <f t="shared" si="112"/>
        <v>U</v>
      </c>
      <c r="W252" s="12" t="str">
        <f t="shared" si="113"/>
        <v>O</v>
      </c>
      <c r="X252" s="12" t="str">
        <f t="shared" si="114"/>
        <v>U</v>
      </c>
      <c r="Z252" s="3">
        <v>58.5</v>
      </c>
      <c r="AB252" s="12" t="str">
        <f t="shared" si="115"/>
        <v>DAL/LAC</v>
      </c>
      <c r="AC252" s="12">
        <f t="shared" si="116"/>
        <v>2</v>
      </c>
      <c r="AD252" s="12">
        <f t="shared" si="117"/>
        <v>2</v>
      </c>
    </row>
    <row r="253" spans="1:30" ht="17.100000000000001" x14ac:dyDescent="0.45">
      <c r="A253" s="12">
        <v>191127</v>
      </c>
      <c r="B253" s="44">
        <v>0.45833333333333331</v>
      </c>
      <c r="C253" s="3" t="s">
        <v>271</v>
      </c>
      <c r="D253" s="5" t="s">
        <v>259</v>
      </c>
      <c r="E253" s="12">
        <v>25</v>
      </c>
      <c r="F253" s="12">
        <v>39</v>
      </c>
      <c r="G253" s="12">
        <v>22</v>
      </c>
      <c r="H253" s="12">
        <v>31</v>
      </c>
      <c r="I253" s="12"/>
      <c r="J253" s="12">
        <v>23</v>
      </c>
      <c r="K253" s="12">
        <v>24</v>
      </c>
      <c r="L253" s="12">
        <v>22</v>
      </c>
      <c r="M253" s="12">
        <v>35</v>
      </c>
      <c r="O253" s="12">
        <f t="shared" ref="O253" si="118">SUM(E253:I253)</f>
        <v>117</v>
      </c>
      <c r="P253" s="12">
        <f t="shared" ref="P253" si="119">SUM(J253:N253)</f>
        <v>104</v>
      </c>
      <c r="Q253" s="12" t="str">
        <f t="shared" ref="Q253" si="120">IF(E253=J253,"TT",IF(E253&gt;J253,"HW","HL"))</f>
        <v>HW</v>
      </c>
      <c r="R253" s="12" t="str">
        <f t="shared" ref="R253" si="121">IF(F253=K253,"TT",IF(F253&gt;K253,"HW","HL"))</f>
        <v>HW</v>
      </c>
      <c r="S253" s="12" t="str">
        <f t="shared" ref="S253" si="122">IF(G253=L253,"TT",IF(G253&gt;L253,"HW","HL"))</f>
        <v>TT</v>
      </c>
      <c r="T253" s="12" t="str">
        <f t="shared" ref="T253" si="123">IF(H253=M253,"TT",IF(H253&gt;M253,"HW","HL"))</f>
        <v>HL</v>
      </c>
      <c r="U253" s="12" t="str">
        <f t="shared" ref="U253" si="124">IF(SUM(E253,J253)=$Z253,"T",IF(SUM(E253,J253)&gt;$Z253,"O","U"))</f>
        <v>U</v>
      </c>
      <c r="V253" s="12" t="str">
        <f t="shared" ref="V253" si="125">IF(SUM(F253,K253)=$Z253,"T",IF(SUM(F253,K253)&gt;$Z253,"O","U"))</f>
        <v>O</v>
      </c>
      <c r="W253" s="12" t="str">
        <f t="shared" ref="W253" si="126">IF(SUM(G253,L253)=$Z253,"T",IF(SUM(G253,L253)&gt;$Z253,"O","U"))</f>
        <v>U</v>
      </c>
      <c r="X253" s="12" t="str">
        <f t="shared" ref="X253" si="127">IF(SUM(H253,M253)=$Z253,"T",IF(SUM(H253,M253)&gt;$Z253,"O","U"))</f>
        <v>O</v>
      </c>
      <c r="Z253" s="42">
        <v>58.5</v>
      </c>
      <c r="AB253" s="12" t="str">
        <f t="shared" si="115"/>
        <v>DEN/WAS</v>
      </c>
      <c r="AC253" s="12">
        <f t="shared" si="116"/>
        <v>2</v>
      </c>
      <c r="AD253" s="12">
        <f t="shared" si="117"/>
        <v>2</v>
      </c>
    </row>
    <row r="254" spans="1:30" ht="17.100000000000001" x14ac:dyDescent="0.45">
      <c r="A254" s="42">
        <v>191128</v>
      </c>
      <c r="B254" s="44">
        <v>0.375</v>
      </c>
      <c r="C254" s="11" t="s">
        <v>272</v>
      </c>
      <c r="D254" s="13" t="s">
        <v>261</v>
      </c>
      <c r="E254" s="42">
        <v>30</v>
      </c>
      <c r="F254" s="42">
        <v>27</v>
      </c>
      <c r="G254" s="42">
        <v>34</v>
      </c>
      <c r="H254" s="42">
        <v>30</v>
      </c>
      <c r="I254" s="42"/>
      <c r="J254" s="42">
        <v>23</v>
      </c>
      <c r="K254" s="42">
        <v>40</v>
      </c>
      <c r="L254" s="42">
        <v>23</v>
      </c>
      <c r="M254" s="42">
        <v>24</v>
      </c>
      <c r="N254" s="42"/>
      <c r="O254" s="42">
        <f t="shared" ref="O254:O280" si="128">SUM(E254:I254)</f>
        <v>121</v>
      </c>
      <c r="P254" s="42">
        <f t="shared" ref="P254:P280" si="129">SUM(J254:N254)</f>
        <v>110</v>
      </c>
      <c r="Q254" s="42" t="str">
        <f t="shared" ref="Q254:Q280" si="130">IF(E254=J254,"TT",IF(E254&gt;J254,"HW","HL"))</f>
        <v>HW</v>
      </c>
      <c r="R254" s="42" t="str">
        <f t="shared" ref="R254:R280" si="131">IF(F254=K254,"TT",IF(F254&gt;K254,"HW","HL"))</f>
        <v>HL</v>
      </c>
      <c r="S254" s="42" t="str">
        <f t="shared" ref="S254:S280" si="132">IF(G254=L254,"TT",IF(G254&gt;L254,"HW","HL"))</f>
        <v>HW</v>
      </c>
      <c r="T254" s="42" t="str">
        <f t="shared" ref="T254:T280" si="133">IF(H254=M254,"TT",IF(H254&gt;M254,"HW","HL"))</f>
        <v>HW</v>
      </c>
      <c r="U254" s="42" t="str">
        <f t="shared" ref="U254:U280" si="134">IF(SUM(E254,J254)=$Z254,"T",IF(SUM(E254,J254)&gt;$Z254,"O","U"))</f>
        <v>O</v>
      </c>
      <c r="V254" s="42" t="str">
        <f t="shared" ref="V254:V280" si="135">IF(SUM(F254,K254)=$Z254,"T",IF(SUM(F254,K254)&gt;$Z254,"O","U"))</f>
        <v>O</v>
      </c>
      <c r="W254" s="42" t="str">
        <f t="shared" ref="W254:W280" si="136">IF(SUM(G254,L254)=$Z254,"T",IF(SUM(G254,L254)&gt;$Z254,"O","U"))</f>
        <v>O</v>
      </c>
      <c r="X254" s="42" t="str">
        <f t="shared" ref="X254:X280" si="137">IF(SUM(H254,M254)=$Z254,"T",IF(SUM(H254,M254)&gt;$Z254,"O","U"))</f>
        <v>O</v>
      </c>
      <c r="Y254" s="42"/>
      <c r="Z254" s="42">
        <v>52.5</v>
      </c>
      <c r="AA254" s="42"/>
      <c r="AB254" s="42" t="str">
        <f t="shared" ref="AB254:AB280" si="138">C254&amp;"/"&amp;D254</f>
        <v>BOS/BKN</v>
      </c>
      <c r="AC254" s="42">
        <f t="shared" ref="AC254:AC280" si="139">COUNTIF(U254:X254,"o")</f>
        <v>4</v>
      </c>
      <c r="AD254" s="42">
        <f t="shared" ref="AD254:AD280" si="140">COUNTIF(U254:X254,"u")</f>
        <v>0</v>
      </c>
    </row>
    <row r="255" spans="1:30" ht="17.100000000000001" x14ac:dyDescent="0.45">
      <c r="A255" s="42">
        <v>191128</v>
      </c>
      <c r="B255" s="44">
        <v>0.375</v>
      </c>
      <c r="C255" s="42" t="s">
        <v>270</v>
      </c>
      <c r="D255" s="13" t="s">
        <v>280</v>
      </c>
      <c r="E255" s="42">
        <v>27</v>
      </c>
      <c r="F255" s="42">
        <v>25</v>
      </c>
      <c r="G255" s="42">
        <v>21</v>
      </c>
      <c r="H255" s="42">
        <v>31</v>
      </c>
      <c r="I255" s="42"/>
      <c r="J255" s="42">
        <v>27</v>
      </c>
      <c r="K255" s="42">
        <v>32</v>
      </c>
      <c r="L255" s="42">
        <v>28</v>
      </c>
      <c r="M255" s="42">
        <v>29</v>
      </c>
      <c r="N255" s="42"/>
      <c r="O255" s="42">
        <f t="shared" si="128"/>
        <v>104</v>
      </c>
      <c r="P255" s="42">
        <f t="shared" si="129"/>
        <v>116</v>
      </c>
      <c r="Q255" s="42" t="str">
        <f t="shared" si="130"/>
        <v>TT</v>
      </c>
      <c r="R255" s="42" t="str">
        <f t="shared" si="131"/>
        <v>HL</v>
      </c>
      <c r="S255" s="42" t="str">
        <f t="shared" si="132"/>
        <v>HL</v>
      </c>
      <c r="T255" s="42" t="str">
        <f t="shared" si="133"/>
        <v>HW</v>
      </c>
      <c r="U255" s="42" t="str">
        <f t="shared" si="134"/>
        <v>O</v>
      </c>
      <c r="V255" s="42" t="str">
        <f t="shared" si="135"/>
        <v>O</v>
      </c>
      <c r="W255" s="42" t="str">
        <f t="shared" si="136"/>
        <v>U</v>
      </c>
      <c r="X255" s="42" t="str">
        <f t="shared" si="137"/>
        <v>O</v>
      </c>
      <c r="Y255" s="42"/>
      <c r="Z255" s="42">
        <v>53.5</v>
      </c>
      <c r="AA255" s="42"/>
      <c r="AB255" s="42" t="str">
        <f t="shared" si="138"/>
        <v>CLE/ORL</v>
      </c>
      <c r="AC255" s="42">
        <f t="shared" si="139"/>
        <v>3</v>
      </c>
      <c r="AD255" s="42">
        <f t="shared" si="140"/>
        <v>1</v>
      </c>
    </row>
    <row r="256" spans="1:30" ht="17.100000000000001" x14ac:dyDescent="0.45">
      <c r="A256" s="42">
        <v>191128</v>
      </c>
      <c r="B256" s="44">
        <v>0.375</v>
      </c>
      <c r="C256" s="13" t="s">
        <v>35</v>
      </c>
      <c r="D256" s="5" t="s">
        <v>273</v>
      </c>
      <c r="E256" s="42">
        <v>21</v>
      </c>
      <c r="F256" s="42">
        <v>32</v>
      </c>
      <c r="G256" s="42">
        <v>36</v>
      </c>
      <c r="H256" s="42">
        <v>32</v>
      </c>
      <c r="I256" s="42"/>
      <c r="J256" s="42">
        <v>20</v>
      </c>
      <c r="K256" s="42">
        <v>23</v>
      </c>
      <c r="L256" s="42">
        <v>37</v>
      </c>
      <c r="M256" s="42">
        <v>22</v>
      </c>
      <c r="N256" s="42"/>
      <c r="O256" s="42">
        <f t="shared" si="128"/>
        <v>121</v>
      </c>
      <c r="P256" s="42">
        <f t="shared" si="129"/>
        <v>102</v>
      </c>
      <c r="Q256" s="42" t="str">
        <f t="shared" si="130"/>
        <v>HW</v>
      </c>
      <c r="R256" s="42" t="str">
        <f t="shared" si="131"/>
        <v>HW</v>
      </c>
      <c r="S256" s="42" t="str">
        <f t="shared" si="132"/>
        <v>HL</v>
      </c>
      <c r="T256" s="42" t="str">
        <f t="shared" si="133"/>
        <v>HW</v>
      </c>
      <c r="U256" s="42" t="str">
        <f t="shared" si="134"/>
        <v>U</v>
      </c>
      <c r="V256" s="42" t="str">
        <f t="shared" si="135"/>
        <v>O</v>
      </c>
      <c r="W256" s="42" t="str">
        <f t="shared" si="136"/>
        <v>O</v>
      </c>
      <c r="X256" s="42" t="str">
        <f t="shared" si="137"/>
        <v>O</v>
      </c>
      <c r="Y256" s="42"/>
      <c r="Z256" s="42">
        <v>51</v>
      </c>
      <c r="AA256" s="42"/>
      <c r="AB256" s="42" t="str">
        <f t="shared" si="138"/>
        <v>IND/UTA</v>
      </c>
      <c r="AC256" s="42">
        <f t="shared" si="139"/>
        <v>3</v>
      </c>
      <c r="AD256" s="42">
        <f t="shared" si="140"/>
        <v>1</v>
      </c>
    </row>
    <row r="257" spans="1:30" ht="17.100000000000001" x14ac:dyDescent="0.45">
      <c r="A257" s="42">
        <v>191128</v>
      </c>
      <c r="B257" s="44">
        <v>0.375</v>
      </c>
      <c r="C257" s="13" t="s">
        <v>265</v>
      </c>
      <c r="D257" s="13" t="s">
        <v>262</v>
      </c>
      <c r="E257" s="42">
        <v>25</v>
      </c>
      <c r="F257" s="42">
        <v>22</v>
      </c>
      <c r="G257" s="42">
        <v>29</v>
      </c>
      <c r="H257" s="42">
        <v>21</v>
      </c>
      <c r="I257" s="42"/>
      <c r="J257" s="42">
        <v>18</v>
      </c>
      <c r="K257" s="42">
        <v>28</v>
      </c>
      <c r="L257" s="42">
        <v>19</v>
      </c>
      <c r="M257" s="42">
        <v>26</v>
      </c>
      <c r="N257" s="42"/>
      <c r="O257" s="42">
        <f t="shared" si="128"/>
        <v>97</v>
      </c>
      <c r="P257" s="42">
        <f t="shared" si="129"/>
        <v>91</v>
      </c>
      <c r="Q257" s="42" t="str">
        <f t="shared" si="130"/>
        <v>HW</v>
      </c>
      <c r="R257" s="42" t="str">
        <f t="shared" si="131"/>
        <v>HL</v>
      </c>
      <c r="S257" s="42" t="str">
        <f t="shared" si="132"/>
        <v>HW</v>
      </c>
      <c r="T257" s="42" t="str">
        <f t="shared" si="133"/>
        <v>HL</v>
      </c>
      <c r="U257" s="42" t="str">
        <f t="shared" si="134"/>
        <v>U</v>
      </c>
      <c r="V257" s="42" t="str">
        <f t="shared" si="135"/>
        <v>U</v>
      </c>
      <c r="W257" s="42" t="str">
        <f t="shared" si="136"/>
        <v>U</v>
      </c>
      <c r="X257" s="42" t="str">
        <f t="shared" si="137"/>
        <v>U</v>
      </c>
      <c r="Y257" s="42"/>
      <c r="Z257" s="42">
        <v>54</v>
      </c>
      <c r="AA257" s="42"/>
      <c r="AB257" s="42" t="str">
        <f t="shared" si="138"/>
        <v>PHI/SAC</v>
      </c>
      <c r="AC257" s="42">
        <f t="shared" si="139"/>
        <v>0</v>
      </c>
      <c r="AD257" s="42">
        <f t="shared" si="140"/>
        <v>4</v>
      </c>
    </row>
    <row r="258" spans="1:30" ht="17.100000000000001" x14ac:dyDescent="0.45">
      <c r="A258" s="42">
        <v>191128</v>
      </c>
      <c r="B258" s="44">
        <v>0.375</v>
      </c>
      <c r="C258" s="11" t="s">
        <v>260</v>
      </c>
      <c r="D258" s="11" t="s">
        <v>257</v>
      </c>
      <c r="E258" s="42">
        <v>31</v>
      </c>
      <c r="F258" s="42">
        <v>24</v>
      </c>
      <c r="G258" s="42">
        <v>31</v>
      </c>
      <c r="H258" s="42">
        <v>16</v>
      </c>
      <c r="I258" s="42"/>
      <c r="J258" s="42">
        <v>32</v>
      </c>
      <c r="K258" s="42">
        <v>28</v>
      </c>
      <c r="L258" s="42">
        <v>20</v>
      </c>
      <c r="M258" s="42">
        <v>21</v>
      </c>
      <c r="N258" s="42"/>
      <c r="O258" s="42">
        <f t="shared" si="128"/>
        <v>102</v>
      </c>
      <c r="P258" s="42">
        <f t="shared" si="129"/>
        <v>101</v>
      </c>
      <c r="Q258" s="42" t="str">
        <f t="shared" si="130"/>
        <v>HL</v>
      </c>
      <c r="R258" s="42" t="str">
        <f t="shared" si="131"/>
        <v>HL</v>
      </c>
      <c r="S258" s="42" t="str">
        <f t="shared" si="132"/>
        <v>HW</v>
      </c>
      <c r="T258" s="42" t="str">
        <f t="shared" si="133"/>
        <v>HL</v>
      </c>
      <c r="U258" s="42" t="str">
        <f t="shared" si="134"/>
        <v>O</v>
      </c>
      <c r="V258" s="42" t="str">
        <f t="shared" si="135"/>
        <v>U</v>
      </c>
      <c r="W258" s="42" t="str">
        <f t="shared" si="136"/>
        <v>U</v>
      </c>
      <c r="X258" s="42" t="str">
        <f t="shared" si="137"/>
        <v>U</v>
      </c>
      <c r="Y258" s="42"/>
      <c r="Z258" s="42">
        <v>56</v>
      </c>
      <c r="AA258" s="42"/>
      <c r="AB258" s="42" t="str">
        <f t="shared" si="138"/>
        <v>CHA/DET</v>
      </c>
      <c r="AC258" s="42">
        <f t="shared" si="139"/>
        <v>1</v>
      </c>
      <c r="AD258" s="42">
        <f t="shared" si="140"/>
        <v>3</v>
      </c>
    </row>
    <row r="259" spans="1:30" ht="17.100000000000001" x14ac:dyDescent="0.45">
      <c r="A259" s="42">
        <v>191128</v>
      </c>
      <c r="B259" s="44">
        <v>0.39583333333333331</v>
      </c>
      <c r="C259" s="42" t="s">
        <v>28</v>
      </c>
      <c r="D259" s="5" t="s">
        <v>282</v>
      </c>
      <c r="E259" s="42">
        <v>21</v>
      </c>
      <c r="F259" s="42">
        <v>37</v>
      </c>
      <c r="G259" s="42">
        <v>31</v>
      </c>
      <c r="H259" s="42">
        <v>37</v>
      </c>
      <c r="I259" s="42"/>
      <c r="J259" s="42">
        <v>29</v>
      </c>
      <c r="K259" s="42">
        <v>17</v>
      </c>
      <c r="L259" s="42">
        <v>23</v>
      </c>
      <c r="M259" s="42">
        <v>29</v>
      </c>
      <c r="N259" s="42"/>
      <c r="O259" s="42">
        <f t="shared" si="128"/>
        <v>126</v>
      </c>
      <c r="P259" s="42">
        <f t="shared" si="129"/>
        <v>98</v>
      </c>
      <c r="Q259" s="42" t="str">
        <f t="shared" si="130"/>
        <v>HL</v>
      </c>
      <c r="R259" s="42" t="str">
        <f t="shared" si="131"/>
        <v>HW</v>
      </c>
      <c r="S259" s="42" t="str">
        <f t="shared" si="132"/>
        <v>HW</v>
      </c>
      <c r="T259" s="42" t="str">
        <f t="shared" si="133"/>
        <v>HW</v>
      </c>
      <c r="U259" s="42" t="str">
        <f t="shared" si="134"/>
        <v>U</v>
      </c>
      <c r="V259" s="42" t="str">
        <f t="shared" si="135"/>
        <v>U</v>
      </c>
      <c r="W259" s="42" t="str">
        <f t="shared" si="136"/>
        <v>U</v>
      </c>
      <c r="X259" s="42" t="str">
        <f t="shared" si="137"/>
        <v>O</v>
      </c>
      <c r="Y259" s="42"/>
      <c r="Z259" s="42">
        <v>55</v>
      </c>
      <c r="AA259" s="42"/>
      <c r="AB259" s="42" t="str">
        <f t="shared" si="138"/>
        <v>TOR/NYK</v>
      </c>
      <c r="AC259" s="42">
        <f t="shared" si="139"/>
        <v>1</v>
      </c>
      <c r="AD259" s="42">
        <f t="shared" si="140"/>
        <v>3</v>
      </c>
    </row>
    <row r="260" spans="1:30" ht="17.100000000000001" x14ac:dyDescent="0.45">
      <c r="A260" s="42">
        <v>191128</v>
      </c>
      <c r="B260" s="44">
        <v>0.41666666666666669</v>
      </c>
      <c r="C260" s="14" t="s">
        <v>52</v>
      </c>
      <c r="D260" s="14" t="s">
        <v>264</v>
      </c>
      <c r="E260" s="42">
        <v>27</v>
      </c>
      <c r="F260" s="42">
        <v>39</v>
      </c>
      <c r="G260" s="42">
        <v>25</v>
      </c>
      <c r="H260" s="42">
        <v>26</v>
      </c>
      <c r="I260" s="42"/>
      <c r="J260" s="42">
        <v>23</v>
      </c>
      <c r="K260" s="42">
        <v>19</v>
      </c>
      <c r="L260" s="42">
        <v>26</v>
      </c>
      <c r="M260" s="42">
        <v>40</v>
      </c>
      <c r="N260" s="42"/>
      <c r="O260" s="42">
        <f t="shared" si="128"/>
        <v>117</v>
      </c>
      <c r="P260" s="42">
        <f t="shared" si="129"/>
        <v>108</v>
      </c>
      <c r="Q260" s="42" t="str">
        <f t="shared" si="130"/>
        <v>HW</v>
      </c>
      <c r="R260" s="42" t="str">
        <f t="shared" si="131"/>
        <v>HW</v>
      </c>
      <c r="S260" s="42" t="str">
        <f t="shared" si="132"/>
        <v>HL</v>
      </c>
      <c r="T260" s="42" t="str">
        <f t="shared" si="133"/>
        <v>HL</v>
      </c>
      <c r="U260" s="42" t="str">
        <f t="shared" si="134"/>
        <v>U</v>
      </c>
      <c r="V260" s="42" t="str">
        <f t="shared" si="135"/>
        <v>U</v>
      </c>
      <c r="W260" s="42" t="str">
        <f t="shared" si="136"/>
        <v>U</v>
      </c>
      <c r="X260" s="42" t="str">
        <f t="shared" si="137"/>
        <v>O</v>
      </c>
      <c r="Y260" s="42"/>
      <c r="Z260" s="42">
        <v>58.5</v>
      </c>
      <c r="AA260" s="42"/>
      <c r="AB260" s="42" t="str">
        <f t="shared" si="138"/>
        <v>HOU/MIA</v>
      </c>
      <c r="AC260" s="42">
        <f t="shared" si="139"/>
        <v>1</v>
      </c>
      <c r="AD260" s="42">
        <f t="shared" si="140"/>
        <v>3</v>
      </c>
    </row>
    <row r="261" spans="1:30" ht="17.100000000000001" x14ac:dyDescent="0.45">
      <c r="A261" s="42">
        <v>191128</v>
      </c>
      <c r="B261" s="44">
        <v>0.41666666666666669</v>
      </c>
      <c r="C261" s="42" t="s">
        <v>285</v>
      </c>
      <c r="D261" s="5" t="s">
        <v>258</v>
      </c>
      <c r="E261" s="42">
        <v>33</v>
      </c>
      <c r="F261" s="42">
        <v>27</v>
      </c>
      <c r="G261" s="42">
        <v>21</v>
      </c>
      <c r="H261" s="42">
        <v>30</v>
      </c>
      <c r="I261" s="42"/>
      <c r="J261" s="42">
        <v>17</v>
      </c>
      <c r="K261" s="42">
        <v>42</v>
      </c>
      <c r="L261" s="42">
        <v>23</v>
      </c>
      <c r="M261" s="42">
        <v>20</v>
      </c>
      <c r="N261" s="42"/>
      <c r="O261" s="42">
        <f t="shared" si="128"/>
        <v>111</v>
      </c>
      <c r="P261" s="42">
        <f t="shared" si="129"/>
        <v>102</v>
      </c>
      <c r="Q261" s="42" t="str">
        <f t="shared" si="130"/>
        <v>HW</v>
      </c>
      <c r="R261" s="42" t="str">
        <f t="shared" si="131"/>
        <v>HL</v>
      </c>
      <c r="S261" s="42" t="str">
        <f t="shared" si="132"/>
        <v>HL</v>
      </c>
      <c r="T261" s="42" t="str">
        <f t="shared" si="133"/>
        <v>HW</v>
      </c>
      <c r="U261" s="42" t="str">
        <f t="shared" si="134"/>
        <v>U</v>
      </c>
      <c r="V261" s="42" t="str">
        <f t="shared" si="135"/>
        <v>O</v>
      </c>
      <c r="W261" s="42" t="str">
        <f t="shared" si="136"/>
        <v>U</v>
      </c>
      <c r="X261" s="42" t="str">
        <f t="shared" si="137"/>
        <v>U</v>
      </c>
      <c r="Y261" s="42"/>
      <c r="Z261" s="42">
        <v>61.5</v>
      </c>
      <c r="AA261" s="42"/>
      <c r="AB261" s="42" t="str">
        <f t="shared" si="138"/>
        <v>MIL/ATL</v>
      </c>
      <c r="AC261" s="42">
        <f t="shared" si="139"/>
        <v>1</v>
      </c>
      <c r="AD261" s="42">
        <f t="shared" si="140"/>
        <v>3</v>
      </c>
    </row>
    <row r="262" spans="1:30" ht="17.100000000000001" x14ac:dyDescent="0.45">
      <c r="A262" s="42">
        <v>191128</v>
      </c>
      <c r="B262" s="44">
        <v>0.41666666666666669</v>
      </c>
      <c r="C262" s="42" t="s">
        <v>38</v>
      </c>
      <c r="D262" s="5" t="s">
        <v>275</v>
      </c>
      <c r="E262" s="42">
        <v>31</v>
      </c>
      <c r="F262" s="42">
        <v>29</v>
      </c>
      <c r="G262" s="42">
        <v>28</v>
      </c>
      <c r="H262" s="42">
        <v>31</v>
      </c>
      <c r="I262" s="42"/>
      <c r="J262" s="42">
        <v>35</v>
      </c>
      <c r="K262" s="42">
        <v>29</v>
      </c>
      <c r="L262" s="42">
        <v>28</v>
      </c>
      <c r="M262" s="42">
        <v>29</v>
      </c>
      <c r="N262" s="42"/>
      <c r="O262" s="42">
        <f t="shared" si="128"/>
        <v>119</v>
      </c>
      <c r="P262" s="42">
        <f t="shared" si="129"/>
        <v>121</v>
      </c>
      <c r="Q262" s="42" t="str">
        <f t="shared" si="130"/>
        <v>HL</v>
      </c>
      <c r="R262" s="42" t="str">
        <f t="shared" si="131"/>
        <v>TT</v>
      </c>
      <c r="S262" s="42" t="str">
        <f t="shared" si="132"/>
        <v>TT</v>
      </c>
      <c r="T262" s="42" t="str">
        <f t="shared" si="133"/>
        <v>HW</v>
      </c>
      <c r="U262" s="42" t="str">
        <f t="shared" si="134"/>
        <v>O</v>
      </c>
      <c r="V262" s="42" t="str">
        <f t="shared" si="135"/>
        <v>T</v>
      </c>
      <c r="W262" s="42" t="str">
        <f t="shared" si="136"/>
        <v>U</v>
      </c>
      <c r="X262" s="42" t="str">
        <f t="shared" si="137"/>
        <v>O</v>
      </c>
      <c r="Y262" s="42"/>
      <c r="Z262" s="42">
        <v>58</v>
      </c>
      <c r="AA262" s="42"/>
      <c r="AB262" s="42" t="str">
        <f t="shared" si="138"/>
        <v>MEM/LAC</v>
      </c>
      <c r="AC262" s="42">
        <f t="shared" si="139"/>
        <v>2</v>
      </c>
      <c r="AD262" s="42">
        <f t="shared" si="140"/>
        <v>1</v>
      </c>
    </row>
    <row r="263" spans="1:30" ht="17.100000000000001" x14ac:dyDescent="0.45">
      <c r="A263" s="42">
        <v>191128</v>
      </c>
      <c r="B263" s="44">
        <v>0.4375</v>
      </c>
      <c r="C263" s="42" t="s">
        <v>266</v>
      </c>
      <c r="D263" s="5" t="s">
        <v>29</v>
      </c>
      <c r="E263" s="42">
        <v>24</v>
      </c>
      <c r="F263" s="42">
        <v>23</v>
      </c>
      <c r="G263" s="42">
        <v>31</v>
      </c>
      <c r="H263" s="42">
        <v>23</v>
      </c>
      <c r="I263" s="42"/>
      <c r="J263" s="42">
        <v>22</v>
      </c>
      <c r="K263" s="42">
        <v>35</v>
      </c>
      <c r="L263" s="42">
        <v>24</v>
      </c>
      <c r="M263" s="42">
        <v>32</v>
      </c>
      <c r="N263" s="42"/>
      <c r="O263" s="42">
        <f t="shared" si="128"/>
        <v>101</v>
      </c>
      <c r="P263" s="42">
        <f t="shared" si="129"/>
        <v>113</v>
      </c>
      <c r="Q263" s="42" t="str">
        <f t="shared" si="130"/>
        <v>HW</v>
      </c>
      <c r="R263" s="42" t="str">
        <f t="shared" si="131"/>
        <v>HL</v>
      </c>
      <c r="S263" s="42" t="str">
        <f t="shared" si="132"/>
        <v>HW</v>
      </c>
      <c r="T263" s="42" t="str">
        <f t="shared" si="133"/>
        <v>HL</v>
      </c>
      <c r="U263" s="42" t="str">
        <f t="shared" si="134"/>
        <v>U</v>
      </c>
      <c r="V263" s="42" t="str">
        <f t="shared" si="135"/>
        <v>U</v>
      </c>
      <c r="W263" s="42" t="str">
        <f t="shared" si="136"/>
        <v>U</v>
      </c>
      <c r="X263" s="42" t="str">
        <f t="shared" si="137"/>
        <v>U</v>
      </c>
      <c r="Y263" s="42"/>
      <c r="Z263" s="42">
        <v>59</v>
      </c>
      <c r="AA263" s="42"/>
      <c r="AB263" s="42" t="str">
        <f t="shared" si="138"/>
        <v>SAS/MIN</v>
      </c>
      <c r="AC263" s="42">
        <f t="shared" si="139"/>
        <v>0</v>
      </c>
      <c r="AD263" s="42">
        <f t="shared" si="140"/>
        <v>4</v>
      </c>
    </row>
    <row r="264" spans="1:30" ht="17.100000000000001" x14ac:dyDescent="0.45">
      <c r="A264" s="42">
        <v>191128</v>
      </c>
      <c r="B264" s="44">
        <v>0.45833333333333331</v>
      </c>
      <c r="C264" s="42" t="s">
        <v>43</v>
      </c>
      <c r="D264" s="5" t="s">
        <v>259</v>
      </c>
      <c r="E264" s="42">
        <v>34</v>
      </c>
      <c r="F264" s="42">
        <v>35</v>
      </c>
      <c r="G264" s="42">
        <v>26</v>
      </c>
      <c r="H264" s="42">
        <v>37</v>
      </c>
      <c r="I264" s="42"/>
      <c r="J264" s="42">
        <v>36</v>
      </c>
      <c r="K264" s="42">
        <v>38</v>
      </c>
      <c r="L264" s="42">
        <v>34</v>
      </c>
      <c r="M264" s="42">
        <v>32</v>
      </c>
      <c r="N264" s="42"/>
      <c r="O264" s="42">
        <f t="shared" si="128"/>
        <v>132</v>
      </c>
      <c r="P264" s="42">
        <f t="shared" si="129"/>
        <v>140</v>
      </c>
      <c r="Q264" s="42" t="str">
        <f t="shared" si="130"/>
        <v>HL</v>
      </c>
      <c r="R264" s="42" t="str">
        <f t="shared" si="131"/>
        <v>HL</v>
      </c>
      <c r="S264" s="42" t="str">
        <f t="shared" si="132"/>
        <v>HL</v>
      </c>
      <c r="T264" s="42" t="str">
        <f t="shared" si="133"/>
        <v>HW</v>
      </c>
      <c r="U264" s="42" t="str">
        <f t="shared" si="134"/>
        <v>O</v>
      </c>
      <c r="V264" s="42" t="str">
        <f t="shared" si="135"/>
        <v>O</v>
      </c>
      <c r="W264" s="42" t="str">
        <f t="shared" si="136"/>
        <v>U</v>
      </c>
      <c r="X264" s="42" t="str">
        <f t="shared" si="137"/>
        <v>O</v>
      </c>
      <c r="Y264" s="42"/>
      <c r="Z264" s="42">
        <v>62</v>
      </c>
      <c r="AA264" s="42"/>
      <c r="AB264" s="42" t="str">
        <f t="shared" si="138"/>
        <v>PHO/WAS</v>
      </c>
      <c r="AC264" s="42">
        <f t="shared" si="139"/>
        <v>3</v>
      </c>
      <c r="AD264" s="42">
        <f t="shared" si="140"/>
        <v>1</v>
      </c>
    </row>
    <row r="265" spans="1:30" ht="17.100000000000001" x14ac:dyDescent="0.45">
      <c r="A265" s="42">
        <v>191128</v>
      </c>
      <c r="B265" s="44">
        <v>0.47916666666666669</v>
      </c>
      <c r="C265" s="15" t="s">
        <v>286</v>
      </c>
      <c r="D265" s="15" t="s">
        <v>268</v>
      </c>
      <c r="E265" s="42">
        <v>38</v>
      </c>
      <c r="F265" s="42">
        <v>26</v>
      </c>
      <c r="G265" s="42">
        <v>25</v>
      </c>
      <c r="H265" s="42">
        <v>21</v>
      </c>
      <c r="I265" s="42"/>
      <c r="J265" s="42">
        <v>25</v>
      </c>
      <c r="K265" s="42">
        <v>29</v>
      </c>
      <c r="L265" s="42">
        <v>25</v>
      </c>
      <c r="M265" s="42">
        <v>35</v>
      </c>
      <c r="N265" s="42"/>
      <c r="O265" s="42">
        <f t="shared" si="128"/>
        <v>110</v>
      </c>
      <c r="P265" s="42">
        <f t="shared" si="129"/>
        <v>114</v>
      </c>
      <c r="Q265" s="42" t="str">
        <f t="shared" si="130"/>
        <v>HW</v>
      </c>
      <c r="R265" s="42" t="str">
        <f t="shared" si="131"/>
        <v>HL</v>
      </c>
      <c r="S265" s="42" t="str">
        <f t="shared" si="132"/>
        <v>TT</v>
      </c>
      <c r="T265" s="42" t="str">
        <f t="shared" si="133"/>
        <v>HL</v>
      </c>
      <c r="U265" s="42" t="str">
        <f t="shared" si="134"/>
        <v>O</v>
      </c>
      <c r="V265" s="42" t="str">
        <f t="shared" si="135"/>
        <v>U</v>
      </c>
      <c r="W265" s="42" t="str">
        <f t="shared" si="136"/>
        <v>U</v>
      </c>
      <c r="X265" s="42" t="str">
        <f t="shared" si="137"/>
        <v>U</v>
      </c>
      <c r="Y265" s="42"/>
      <c r="Z265" s="42">
        <v>59.5</v>
      </c>
      <c r="AA265" s="42"/>
      <c r="AB265" s="42" t="str">
        <f t="shared" si="138"/>
        <v>NO/LAL</v>
      </c>
      <c r="AC265" s="42">
        <f t="shared" si="139"/>
        <v>1</v>
      </c>
      <c r="AD265" s="42">
        <f t="shared" si="140"/>
        <v>3</v>
      </c>
    </row>
    <row r="266" spans="1:30" ht="17.100000000000001" x14ac:dyDescent="0.45">
      <c r="A266" s="42">
        <v>191128</v>
      </c>
      <c r="B266" s="44">
        <v>0.5</v>
      </c>
      <c r="C266" s="42" t="s">
        <v>283</v>
      </c>
      <c r="D266" s="5" t="s">
        <v>267</v>
      </c>
      <c r="E266" s="42">
        <v>42</v>
      </c>
      <c r="F266" s="42">
        <v>21</v>
      </c>
      <c r="G266" s="42">
        <v>41</v>
      </c>
      <c r="H266" s="42">
        <v>32</v>
      </c>
      <c r="I266" s="42"/>
      <c r="J266" s="42">
        <v>26</v>
      </c>
      <c r="K266" s="42">
        <v>24</v>
      </c>
      <c r="L266" s="42">
        <v>27</v>
      </c>
      <c r="M266" s="42">
        <v>42</v>
      </c>
      <c r="N266" s="42"/>
      <c r="O266" s="42">
        <f t="shared" si="128"/>
        <v>136</v>
      </c>
      <c r="P266" s="42">
        <f t="shared" si="129"/>
        <v>119</v>
      </c>
      <c r="Q266" s="42" t="str">
        <f t="shared" si="130"/>
        <v>HW</v>
      </c>
      <c r="R266" s="42" t="str">
        <f t="shared" si="131"/>
        <v>HL</v>
      </c>
      <c r="S266" s="42" t="str">
        <f t="shared" si="132"/>
        <v>HW</v>
      </c>
      <c r="T266" s="42" t="str">
        <f t="shared" si="133"/>
        <v>HL</v>
      </c>
      <c r="U266" s="42" t="str">
        <f t="shared" si="134"/>
        <v>O</v>
      </c>
      <c r="V266" s="42" t="str">
        <f t="shared" si="135"/>
        <v>U</v>
      </c>
      <c r="W266" s="42" t="str">
        <f t="shared" si="136"/>
        <v>O</v>
      </c>
      <c r="X266" s="42" t="str">
        <f t="shared" si="137"/>
        <v>O</v>
      </c>
      <c r="Y266" s="42"/>
      <c r="Z266" s="42">
        <v>56</v>
      </c>
      <c r="AA266" s="42"/>
      <c r="AB266" s="42" t="str">
        <f t="shared" si="138"/>
        <v>POR/OKC</v>
      </c>
      <c r="AC266" s="42">
        <f t="shared" si="139"/>
        <v>3</v>
      </c>
      <c r="AD266" s="42">
        <f t="shared" si="140"/>
        <v>1</v>
      </c>
    </row>
    <row r="267" spans="1:30" ht="17.100000000000001" x14ac:dyDescent="0.45">
      <c r="A267" s="42">
        <v>191128</v>
      </c>
      <c r="B267" s="44">
        <v>0.52083333333333337</v>
      </c>
      <c r="C267" s="42" t="s">
        <v>274</v>
      </c>
      <c r="D267" s="5" t="s">
        <v>263</v>
      </c>
      <c r="E267" s="42">
        <v>25</v>
      </c>
      <c r="F267" s="42">
        <v>28</v>
      </c>
      <c r="G267" s="42">
        <v>25</v>
      </c>
      <c r="H267" s="42">
        <v>26</v>
      </c>
      <c r="I267" s="42"/>
      <c r="J267" s="42">
        <v>17</v>
      </c>
      <c r="K267" s="42">
        <v>31</v>
      </c>
      <c r="L267" s="42">
        <v>25</v>
      </c>
      <c r="M267" s="42">
        <v>17</v>
      </c>
      <c r="N267" s="42"/>
      <c r="O267" s="42">
        <f t="shared" si="128"/>
        <v>104</v>
      </c>
      <c r="P267" s="42">
        <f t="shared" si="129"/>
        <v>90</v>
      </c>
      <c r="Q267" s="42" t="str">
        <f t="shared" si="130"/>
        <v>HW</v>
      </c>
      <c r="R267" s="42" t="str">
        <f t="shared" si="131"/>
        <v>HL</v>
      </c>
      <c r="S267" s="42" t="str">
        <f t="shared" si="132"/>
        <v>TT</v>
      </c>
      <c r="T267" s="42" t="str">
        <f t="shared" si="133"/>
        <v>HW</v>
      </c>
      <c r="U267" s="42" t="str">
        <f t="shared" si="134"/>
        <v>U</v>
      </c>
      <c r="V267" s="42" t="str">
        <f t="shared" si="135"/>
        <v>O</v>
      </c>
      <c r="W267" s="42" t="str">
        <f t="shared" si="136"/>
        <v>U</v>
      </c>
      <c r="X267" s="42" t="str">
        <f t="shared" si="137"/>
        <v>U</v>
      </c>
      <c r="Y267" s="42"/>
      <c r="Z267" s="42">
        <v>54</v>
      </c>
      <c r="AA267" s="42"/>
      <c r="AB267" s="42" t="str">
        <f t="shared" si="138"/>
        <v>GS/CHI</v>
      </c>
      <c r="AC267" s="42">
        <f t="shared" si="139"/>
        <v>1</v>
      </c>
      <c r="AD267" s="42">
        <f t="shared" si="140"/>
        <v>3</v>
      </c>
    </row>
    <row r="268" spans="1:30" ht="17.100000000000001" x14ac:dyDescent="0.45">
      <c r="A268" s="42">
        <v>191130</v>
      </c>
      <c r="B268" s="44">
        <v>8.3333333333333329E-2</v>
      </c>
      <c r="C268" s="42" t="s">
        <v>287</v>
      </c>
      <c r="D268" s="5" t="s">
        <v>288</v>
      </c>
      <c r="E268" s="42">
        <v>31</v>
      </c>
      <c r="F268" s="42">
        <v>27</v>
      </c>
      <c r="G268" s="42">
        <v>29</v>
      </c>
      <c r="H268" s="42">
        <v>25</v>
      </c>
      <c r="I268" s="42"/>
      <c r="J268" s="42">
        <v>24</v>
      </c>
      <c r="K268" s="42">
        <v>31</v>
      </c>
      <c r="L268" s="42">
        <v>26</v>
      </c>
      <c r="M268" s="42">
        <v>26</v>
      </c>
      <c r="N268" s="42"/>
      <c r="O268" s="42">
        <f t="shared" si="128"/>
        <v>112</v>
      </c>
      <c r="P268" s="42">
        <f t="shared" si="129"/>
        <v>107</v>
      </c>
      <c r="Q268" s="42" t="str">
        <f t="shared" si="130"/>
        <v>HW</v>
      </c>
      <c r="R268" s="42" t="str">
        <f t="shared" si="131"/>
        <v>HL</v>
      </c>
      <c r="S268" s="42" t="str">
        <f t="shared" si="132"/>
        <v>HW</v>
      </c>
      <c r="T268" s="42" t="str">
        <f t="shared" si="133"/>
        <v>HL</v>
      </c>
      <c r="U268" s="42" t="str">
        <f t="shared" si="134"/>
        <v>O</v>
      </c>
      <c r="V268" s="42" t="str">
        <f t="shared" si="135"/>
        <v>O</v>
      </c>
      <c r="W268" s="42" t="str">
        <f t="shared" si="136"/>
        <v>O</v>
      </c>
      <c r="X268" s="42" t="str">
        <f t="shared" si="137"/>
        <v>U</v>
      </c>
      <c r="Y268" s="42"/>
      <c r="Z268" s="42">
        <v>52.5</v>
      </c>
      <c r="AA268" s="42"/>
      <c r="AB268" s="42" t="str">
        <f t="shared" si="138"/>
        <v>BKN/BOS</v>
      </c>
      <c r="AC268" s="42">
        <f t="shared" si="139"/>
        <v>3</v>
      </c>
      <c r="AD268" s="42">
        <f t="shared" si="140"/>
        <v>1</v>
      </c>
    </row>
    <row r="269" spans="1:30" ht="17.100000000000001" x14ac:dyDescent="0.45">
      <c r="A269" s="42">
        <v>191130</v>
      </c>
      <c r="B269" s="44">
        <v>0.375</v>
      </c>
      <c r="C269" s="42" t="s">
        <v>289</v>
      </c>
      <c r="D269" s="5" t="s">
        <v>290</v>
      </c>
      <c r="E269" s="42">
        <v>37</v>
      </c>
      <c r="F269" s="42">
        <v>20</v>
      </c>
      <c r="G269" s="42">
        <v>28</v>
      </c>
      <c r="H269" s="42">
        <v>22</v>
      </c>
      <c r="I269" s="42"/>
      <c r="J269" s="42">
        <v>38</v>
      </c>
      <c r="K269" s="42">
        <v>24</v>
      </c>
      <c r="L269" s="42">
        <v>23</v>
      </c>
      <c r="M269" s="42">
        <v>25</v>
      </c>
      <c r="N269" s="42"/>
      <c r="O269" s="42">
        <f t="shared" si="128"/>
        <v>107</v>
      </c>
      <c r="P269" s="42">
        <f t="shared" si="129"/>
        <v>110</v>
      </c>
      <c r="Q269" s="42" t="str">
        <f t="shared" si="130"/>
        <v>HL</v>
      </c>
      <c r="R269" s="42" t="str">
        <f t="shared" si="131"/>
        <v>HL</v>
      </c>
      <c r="S269" s="42" t="str">
        <f t="shared" si="132"/>
        <v>HW</v>
      </c>
      <c r="T269" s="42" t="str">
        <f t="shared" si="133"/>
        <v>HL</v>
      </c>
      <c r="U269" s="42" t="str">
        <f t="shared" si="134"/>
        <v>O</v>
      </c>
      <c r="V269" s="42" t="str">
        <f t="shared" si="135"/>
        <v>U</v>
      </c>
      <c r="W269" s="42" t="str">
        <f t="shared" si="136"/>
        <v>U</v>
      </c>
      <c r="X269" s="42" t="str">
        <f t="shared" si="137"/>
        <v>U</v>
      </c>
      <c r="Y269" s="42"/>
      <c r="Z269" s="42">
        <v>55.5</v>
      </c>
      <c r="AA269" s="42"/>
      <c r="AB269" s="42" t="str">
        <f t="shared" si="138"/>
        <v>DET/CHA</v>
      </c>
      <c r="AC269" s="42">
        <f t="shared" si="139"/>
        <v>1</v>
      </c>
      <c r="AD269" s="42">
        <f t="shared" si="140"/>
        <v>3</v>
      </c>
    </row>
    <row r="270" spans="1:30" ht="17.100000000000001" x14ac:dyDescent="0.45">
      <c r="A270" s="42">
        <v>191130</v>
      </c>
      <c r="B270" s="44">
        <v>0.375</v>
      </c>
      <c r="C270" s="42" t="s">
        <v>291</v>
      </c>
      <c r="D270" s="5" t="s">
        <v>292</v>
      </c>
      <c r="E270" s="42">
        <v>23</v>
      </c>
      <c r="F270" s="42">
        <v>24</v>
      </c>
      <c r="G270" s="42">
        <v>12</v>
      </c>
      <c r="H270" s="42">
        <v>24</v>
      </c>
      <c r="I270" s="42"/>
      <c r="J270" s="42">
        <v>20</v>
      </c>
      <c r="K270" s="42">
        <v>20</v>
      </c>
      <c r="L270" s="42">
        <v>26</v>
      </c>
      <c r="M270" s="42">
        <v>24</v>
      </c>
      <c r="N270" s="42"/>
      <c r="O270" s="42">
        <f t="shared" si="128"/>
        <v>83</v>
      </c>
      <c r="P270" s="42">
        <f t="shared" si="129"/>
        <v>90</v>
      </c>
      <c r="Q270" s="42" t="str">
        <f t="shared" si="130"/>
        <v>HW</v>
      </c>
      <c r="R270" s="42" t="str">
        <f t="shared" si="131"/>
        <v>HW</v>
      </c>
      <c r="S270" s="42" t="str">
        <f t="shared" si="132"/>
        <v>HL</v>
      </c>
      <c r="T270" s="42" t="str">
        <f t="shared" si="133"/>
        <v>TT</v>
      </c>
      <c r="U270" s="42" t="str">
        <f t="shared" si="134"/>
        <v>U</v>
      </c>
      <c r="V270" s="42" t="str">
        <f t="shared" si="135"/>
        <v>U</v>
      </c>
      <c r="W270" s="42" t="str">
        <f t="shared" si="136"/>
        <v>U</v>
      </c>
      <c r="X270" s="42" t="str">
        <f t="shared" si="137"/>
        <v>U</v>
      </c>
      <c r="Y270" s="42"/>
      <c r="Z270" s="42">
        <v>54.5</v>
      </c>
      <c r="AA270" s="42"/>
      <c r="AB270" s="42" t="str">
        <f t="shared" si="138"/>
        <v>ORL/TOR</v>
      </c>
      <c r="AC270" s="42">
        <f t="shared" si="139"/>
        <v>0</v>
      </c>
      <c r="AD270" s="42">
        <f t="shared" si="140"/>
        <v>4</v>
      </c>
    </row>
    <row r="271" spans="1:30" ht="17.100000000000001" x14ac:dyDescent="0.45">
      <c r="A271" s="42">
        <v>191130</v>
      </c>
      <c r="B271" s="44">
        <v>0.39583333333333331</v>
      </c>
      <c r="C271" s="42" t="s">
        <v>293</v>
      </c>
      <c r="D271" s="5" t="s">
        <v>294</v>
      </c>
      <c r="E271" s="42">
        <v>29</v>
      </c>
      <c r="F271" s="42">
        <v>18</v>
      </c>
      <c r="G271" s="42">
        <v>42</v>
      </c>
      <c r="H271" s="42">
        <v>21</v>
      </c>
      <c r="I271" s="42"/>
      <c r="J271" s="42">
        <v>38</v>
      </c>
      <c r="K271" s="42">
        <v>29</v>
      </c>
      <c r="L271" s="42">
        <v>32</v>
      </c>
      <c r="M271" s="42">
        <v>20</v>
      </c>
      <c r="N271" s="42"/>
      <c r="O271" s="42">
        <f t="shared" si="128"/>
        <v>110</v>
      </c>
      <c r="P271" s="42">
        <f t="shared" si="129"/>
        <v>119</v>
      </c>
      <c r="Q271" s="42" t="str">
        <f t="shared" si="130"/>
        <v>HL</v>
      </c>
      <c r="R271" s="42" t="str">
        <f t="shared" si="131"/>
        <v>HL</v>
      </c>
      <c r="S271" s="42" t="str">
        <f t="shared" si="132"/>
        <v>HW</v>
      </c>
      <c r="T271" s="42" t="str">
        <f t="shared" si="133"/>
        <v>HW</v>
      </c>
      <c r="U271" s="42" t="str">
        <f t="shared" si="134"/>
        <v>O</v>
      </c>
      <c r="V271" s="42" t="str">
        <f t="shared" si="135"/>
        <v>U</v>
      </c>
      <c r="W271" s="42" t="str">
        <f t="shared" si="136"/>
        <v>O</v>
      </c>
      <c r="X271" s="42" t="str">
        <f t="shared" si="137"/>
        <v>U</v>
      </c>
      <c r="Y271" s="42"/>
      <c r="Z271" s="42">
        <v>56</v>
      </c>
      <c r="AA271" s="42"/>
      <c r="AB271" s="42" t="str">
        <f t="shared" si="138"/>
        <v>CLE/MIL</v>
      </c>
      <c r="AC271" s="42">
        <f t="shared" si="139"/>
        <v>2</v>
      </c>
      <c r="AD271" s="42">
        <f t="shared" si="140"/>
        <v>2</v>
      </c>
    </row>
    <row r="272" spans="1:30" ht="17.100000000000001" x14ac:dyDescent="0.45">
      <c r="A272" s="42">
        <v>191130</v>
      </c>
      <c r="B272" s="44">
        <v>0.39583333333333331</v>
      </c>
      <c r="C272" s="42" t="s">
        <v>295</v>
      </c>
      <c r="D272" s="5" t="s">
        <v>296</v>
      </c>
      <c r="E272" s="42">
        <v>31</v>
      </c>
      <c r="F272" s="42">
        <v>20</v>
      </c>
      <c r="G272" s="42">
        <v>17</v>
      </c>
      <c r="H272" s="42">
        <v>27</v>
      </c>
      <c r="I272" s="42"/>
      <c r="J272" s="42">
        <v>18</v>
      </c>
      <c r="K272" s="42">
        <v>21</v>
      </c>
      <c r="L272" s="42">
        <v>31</v>
      </c>
      <c r="M272" s="42">
        <v>31</v>
      </c>
      <c r="N272" s="42"/>
      <c r="O272" s="42">
        <f t="shared" si="128"/>
        <v>95</v>
      </c>
      <c r="P272" s="42">
        <f t="shared" si="129"/>
        <v>101</v>
      </c>
      <c r="Q272" s="42" t="str">
        <f t="shared" si="130"/>
        <v>HW</v>
      </c>
      <c r="R272" s="42" t="str">
        <f t="shared" si="131"/>
        <v>HL</v>
      </c>
      <c r="S272" s="42" t="str">
        <f t="shared" si="132"/>
        <v>HL</v>
      </c>
      <c r="T272" s="42" t="str">
        <f t="shared" si="133"/>
        <v>HL</v>
      </c>
      <c r="U272" s="42" t="str">
        <f t="shared" si="134"/>
        <v>U</v>
      </c>
      <c r="V272" s="42" t="str">
        <f t="shared" si="135"/>
        <v>U</v>
      </c>
      <c r="W272" s="42" t="str">
        <f t="shared" si="136"/>
        <v>U</v>
      </c>
      <c r="X272" s="42" t="str">
        <f t="shared" si="137"/>
        <v>O</v>
      </c>
      <c r="Y272" s="42"/>
      <c r="Z272" s="42">
        <v>51.5</v>
      </c>
      <c r="AA272" s="42"/>
      <c r="AB272" s="42" t="str">
        <f t="shared" si="138"/>
        <v>NYK/PHI</v>
      </c>
      <c r="AC272" s="42">
        <f t="shared" si="139"/>
        <v>1</v>
      </c>
      <c r="AD272" s="42">
        <f t="shared" si="140"/>
        <v>3</v>
      </c>
    </row>
    <row r="273" spans="1:30" ht="17.100000000000001" x14ac:dyDescent="0.45">
      <c r="A273" s="42">
        <v>191130</v>
      </c>
      <c r="B273" s="44">
        <v>0.41666666666666669</v>
      </c>
      <c r="C273" s="42" t="s">
        <v>297</v>
      </c>
      <c r="D273" s="5" t="s">
        <v>298</v>
      </c>
      <c r="E273" s="42">
        <v>22</v>
      </c>
      <c r="F273" s="42">
        <v>21</v>
      </c>
      <c r="G273" s="42">
        <v>29</v>
      </c>
      <c r="H273" s="42">
        <v>22</v>
      </c>
      <c r="I273" s="42">
        <v>11</v>
      </c>
      <c r="J273" s="42">
        <v>23</v>
      </c>
      <c r="K273" s="42">
        <v>31</v>
      </c>
      <c r="L273" s="42">
        <v>11</v>
      </c>
      <c r="M273" s="42">
        <v>29</v>
      </c>
      <c r="N273" s="42">
        <v>10</v>
      </c>
      <c r="O273" s="42">
        <f t="shared" si="128"/>
        <v>105</v>
      </c>
      <c r="P273" s="42">
        <f t="shared" si="129"/>
        <v>104</v>
      </c>
      <c r="Q273" s="42" t="str">
        <f t="shared" si="130"/>
        <v>HL</v>
      </c>
      <c r="R273" s="42" t="str">
        <f t="shared" si="131"/>
        <v>HL</v>
      </c>
      <c r="S273" s="42" t="str">
        <f t="shared" si="132"/>
        <v>HW</v>
      </c>
      <c r="T273" s="42" t="str">
        <f t="shared" si="133"/>
        <v>HL</v>
      </c>
      <c r="U273" s="42" t="str">
        <f t="shared" si="134"/>
        <v>U</v>
      </c>
      <c r="V273" s="42" t="str">
        <f t="shared" si="135"/>
        <v>U</v>
      </c>
      <c r="W273" s="42" t="str">
        <f t="shared" si="136"/>
        <v>U</v>
      </c>
      <c r="X273" s="42" t="str">
        <f t="shared" si="137"/>
        <v>U</v>
      </c>
      <c r="Y273" s="42"/>
      <c r="Z273" s="42">
        <v>58</v>
      </c>
      <c r="AA273" s="42"/>
      <c r="AB273" s="42" t="str">
        <f t="shared" si="138"/>
        <v>IND/ATL</v>
      </c>
      <c r="AC273" s="42">
        <f t="shared" si="139"/>
        <v>0</v>
      </c>
      <c r="AD273" s="42">
        <f t="shared" si="140"/>
        <v>4</v>
      </c>
    </row>
    <row r="274" spans="1:30" ht="17.100000000000001" x14ac:dyDescent="0.45">
      <c r="A274" s="42">
        <v>191130</v>
      </c>
      <c r="B274" s="44">
        <v>0.41666666666666669</v>
      </c>
      <c r="C274" s="42" t="s">
        <v>299</v>
      </c>
      <c r="D274" s="5" t="s">
        <v>300</v>
      </c>
      <c r="E274" s="42">
        <v>41</v>
      </c>
      <c r="F274" s="42">
        <v>30</v>
      </c>
      <c r="G274" s="42">
        <v>24</v>
      </c>
      <c r="H274" s="42">
        <v>27</v>
      </c>
      <c r="I274" s="42"/>
      <c r="J274" s="42">
        <v>21</v>
      </c>
      <c r="K274" s="42">
        <v>37</v>
      </c>
      <c r="L274" s="42">
        <v>21</v>
      </c>
      <c r="M274" s="42">
        <v>26</v>
      </c>
      <c r="N274" s="42"/>
      <c r="O274" s="42">
        <f t="shared" si="128"/>
        <v>122</v>
      </c>
      <c r="P274" s="42">
        <f t="shared" si="129"/>
        <v>105</v>
      </c>
      <c r="Q274" s="42" t="str">
        <f t="shared" si="130"/>
        <v>HW</v>
      </c>
      <c r="R274" s="42" t="str">
        <f t="shared" si="131"/>
        <v>HL</v>
      </c>
      <c r="S274" s="42" t="str">
        <f t="shared" si="132"/>
        <v>HW</v>
      </c>
      <c r="T274" s="42" t="str">
        <f t="shared" si="133"/>
        <v>HW</v>
      </c>
      <c r="U274" s="42" t="str">
        <f t="shared" si="134"/>
        <v>O</v>
      </c>
      <c r="V274" s="42" t="str">
        <f t="shared" si="135"/>
        <v>O</v>
      </c>
      <c r="W274" s="42" t="str">
        <f t="shared" si="136"/>
        <v>U</v>
      </c>
      <c r="X274" s="42" t="str">
        <f t="shared" si="137"/>
        <v>U</v>
      </c>
      <c r="Y274" s="42"/>
      <c r="Z274" s="42">
        <v>54.5</v>
      </c>
      <c r="AA274" s="42"/>
      <c r="AB274" s="42" t="str">
        <f t="shared" si="138"/>
        <v>MIA/GS</v>
      </c>
      <c r="AC274" s="42">
        <f t="shared" si="139"/>
        <v>2</v>
      </c>
      <c r="AD274" s="42">
        <f t="shared" si="140"/>
        <v>2</v>
      </c>
    </row>
    <row r="275" spans="1:30" ht="17.100000000000001" x14ac:dyDescent="0.45">
      <c r="A275" s="42">
        <v>191130</v>
      </c>
      <c r="B275" s="44">
        <v>0.41666666666666669</v>
      </c>
      <c r="C275" s="42" t="s">
        <v>301</v>
      </c>
      <c r="D275" s="5" t="s">
        <v>302</v>
      </c>
      <c r="E275" s="42">
        <v>34</v>
      </c>
      <c r="F275" s="42">
        <v>28</v>
      </c>
      <c r="G275" s="42">
        <v>17</v>
      </c>
      <c r="H275" s="42">
        <v>30</v>
      </c>
      <c r="I275" s="42"/>
      <c r="J275" s="42">
        <v>26</v>
      </c>
      <c r="K275" s="42">
        <v>27</v>
      </c>
      <c r="L275" s="42">
        <v>31</v>
      </c>
      <c r="M275" s="42">
        <v>20</v>
      </c>
      <c r="N275" s="42"/>
      <c r="O275" s="42">
        <f t="shared" si="128"/>
        <v>109</v>
      </c>
      <c r="P275" s="42">
        <f t="shared" si="129"/>
        <v>104</v>
      </c>
      <c r="Q275" s="42" t="str">
        <f t="shared" si="130"/>
        <v>HW</v>
      </c>
      <c r="R275" s="42" t="str">
        <f t="shared" si="131"/>
        <v>HW</v>
      </c>
      <c r="S275" s="42" t="str">
        <f t="shared" si="132"/>
        <v>HL</v>
      </c>
      <c r="T275" s="42" t="str">
        <f t="shared" si="133"/>
        <v>HW</v>
      </c>
      <c r="U275" s="42" t="str">
        <f t="shared" si="134"/>
        <v>O</v>
      </c>
      <c r="V275" s="42" t="str">
        <f t="shared" si="135"/>
        <v>U</v>
      </c>
      <c r="W275" s="42" t="str">
        <f t="shared" si="136"/>
        <v>U</v>
      </c>
      <c r="X275" s="42" t="str">
        <f t="shared" si="137"/>
        <v>U</v>
      </c>
      <c r="Y275" s="42"/>
      <c r="Z275" s="42">
        <v>59</v>
      </c>
      <c r="AA275" s="42"/>
      <c r="AB275" s="42" t="str">
        <f t="shared" si="138"/>
        <v>OKC/NO</v>
      </c>
      <c r="AC275" s="42">
        <f t="shared" si="139"/>
        <v>1</v>
      </c>
      <c r="AD275" s="42">
        <f t="shared" si="140"/>
        <v>3</v>
      </c>
    </row>
    <row r="276" spans="1:30" ht="17.100000000000001" x14ac:dyDescent="0.45">
      <c r="A276" s="42">
        <v>191130</v>
      </c>
      <c r="B276" s="44">
        <v>0.41666666666666669</v>
      </c>
      <c r="C276" s="42" t="s">
        <v>303</v>
      </c>
      <c r="D276" s="5" t="s">
        <v>304</v>
      </c>
      <c r="E276" s="42">
        <v>24</v>
      </c>
      <c r="F276" s="42">
        <v>31</v>
      </c>
      <c r="G276" s="42">
        <v>18</v>
      </c>
      <c r="H276" s="42">
        <v>21</v>
      </c>
      <c r="I276" s="42"/>
      <c r="J276" s="42">
        <v>22</v>
      </c>
      <c r="K276" s="42">
        <v>18</v>
      </c>
      <c r="L276" s="42">
        <v>35</v>
      </c>
      <c r="M276" s="42">
        <v>28</v>
      </c>
      <c r="N276" s="42"/>
      <c r="O276" s="42">
        <f t="shared" si="128"/>
        <v>94</v>
      </c>
      <c r="P276" s="42">
        <f t="shared" si="129"/>
        <v>103</v>
      </c>
      <c r="Q276" s="42" t="str">
        <f t="shared" si="130"/>
        <v>HW</v>
      </c>
      <c r="R276" s="42" t="str">
        <f t="shared" si="131"/>
        <v>HW</v>
      </c>
      <c r="S276" s="42" t="str">
        <f t="shared" si="132"/>
        <v>HL</v>
      </c>
      <c r="T276" s="42" t="str">
        <f t="shared" si="133"/>
        <v>HL</v>
      </c>
      <c r="U276" s="42" t="str">
        <f t="shared" si="134"/>
        <v>U</v>
      </c>
      <c r="V276" s="42" t="str">
        <f t="shared" si="135"/>
        <v>U</v>
      </c>
      <c r="W276" s="42" t="str">
        <f t="shared" si="136"/>
        <v>U</v>
      </c>
      <c r="X276" s="42" t="str">
        <f t="shared" si="137"/>
        <v>U</v>
      </c>
      <c r="Y276" s="42"/>
      <c r="Z276" s="42">
        <v>54</v>
      </c>
      <c r="AA276" s="42"/>
      <c r="AB276" s="42" t="str">
        <f t="shared" si="138"/>
        <v>MEM/UTA</v>
      </c>
      <c r="AC276" s="42">
        <f t="shared" si="139"/>
        <v>0</v>
      </c>
      <c r="AD276" s="42">
        <f t="shared" si="140"/>
        <v>4</v>
      </c>
    </row>
    <row r="277" spans="1:30" ht="17.100000000000001" x14ac:dyDescent="0.45">
      <c r="A277" s="42">
        <v>191130</v>
      </c>
      <c r="B277" s="44">
        <v>0.4375</v>
      </c>
      <c r="C277" s="42" t="s">
        <v>305</v>
      </c>
      <c r="D277" s="5" t="s">
        <v>306</v>
      </c>
      <c r="E277" s="42">
        <v>27</v>
      </c>
      <c r="F277" s="42">
        <v>26</v>
      </c>
      <c r="G277" s="42">
        <v>29</v>
      </c>
      <c r="H277" s="42">
        <v>25</v>
      </c>
      <c r="I277" s="42"/>
      <c r="J277" s="42">
        <v>30</v>
      </c>
      <c r="K277" s="42">
        <v>23</v>
      </c>
      <c r="L277" s="42">
        <v>18</v>
      </c>
      <c r="M277" s="42">
        <v>26</v>
      </c>
      <c r="N277" s="42"/>
      <c r="O277" s="42">
        <f t="shared" si="128"/>
        <v>107</v>
      </c>
      <c r="P277" s="42">
        <f t="shared" si="129"/>
        <v>97</v>
      </c>
      <c r="Q277" s="42" t="str">
        <f t="shared" si="130"/>
        <v>HL</v>
      </c>
      <c r="R277" s="42" t="str">
        <f t="shared" si="131"/>
        <v>HW</v>
      </c>
      <c r="S277" s="42" t="str">
        <f t="shared" si="132"/>
        <v>HW</v>
      </c>
      <c r="T277" s="42" t="str">
        <f t="shared" si="133"/>
        <v>HL</v>
      </c>
      <c r="U277" s="42" t="str">
        <f t="shared" si="134"/>
        <v>U</v>
      </c>
      <c r="V277" s="42" t="str">
        <f t="shared" si="135"/>
        <v>U</v>
      </c>
      <c r="W277" s="42" t="str">
        <f t="shared" si="136"/>
        <v>U</v>
      </c>
      <c r="X277" s="42" t="str">
        <f t="shared" si="137"/>
        <v>U</v>
      </c>
      <c r="Y277" s="42"/>
      <c r="Z277" s="42">
        <v>58</v>
      </c>
      <c r="AA277" s="42"/>
      <c r="AB277" s="42" t="str">
        <f t="shared" si="138"/>
        <v>SAS/LAC</v>
      </c>
      <c r="AC277" s="42">
        <f t="shared" si="139"/>
        <v>0</v>
      </c>
      <c r="AD277" s="42">
        <f t="shared" si="140"/>
        <v>4</v>
      </c>
    </row>
    <row r="278" spans="1:30" ht="17.100000000000001" x14ac:dyDescent="0.45">
      <c r="A278" s="42">
        <v>191130</v>
      </c>
      <c r="B278" s="44">
        <v>0.45833333333333331</v>
      </c>
      <c r="C278" s="42" t="s">
        <v>307</v>
      </c>
      <c r="D278" s="5" t="s">
        <v>308</v>
      </c>
      <c r="E278" s="42">
        <v>25</v>
      </c>
      <c r="F278" s="42">
        <v>25</v>
      </c>
      <c r="G278" s="42">
        <v>39</v>
      </c>
      <c r="H278" s="42">
        <v>24</v>
      </c>
      <c r="I278" s="42"/>
      <c r="J278" s="42">
        <v>31</v>
      </c>
      <c r="K278" s="42">
        <v>22</v>
      </c>
      <c r="L278" s="42">
        <v>36</v>
      </c>
      <c r="M278" s="42">
        <v>31</v>
      </c>
      <c r="N278" s="42"/>
      <c r="O278" s="42">
        <f t="shared" si="128"/>
        <v>113</v>
      </c>
      <c r="P278" s="42">
        <f t="shared" si="129"/>
        <v>120</v>
      </c>
      <c r="Q278" s="42" t="str">
        <f t="shared" si="130"/>
        <v>HL</v>
      </c>
      <c r="R278" s="42" t="str">
        <f t="shared" si="131"/>
        <v>HW</v>
      </c>
      <c r="S278" s="42" t="str">
        <f t="shared" si="132"/>
        <v>HW</v>
      </c>
      <c r="T278" s="42" t="str">
        <f t="shared" si="133"/>
        <v>HL</v>
      </c>
      <c r="U278" s="42" t="str">
        <f t="shared" si="134"/>
        <v>U</v>
      </c>
      <c r="V278" s="42" t="str">
        <f t="shared" si="135"/>
        <v>U</v>
      </c>
      <c r="W278" s="42" t="str">
        <f t="shared" si="136"/>
        <v>O</v>
      </c>
      <c r="X278" s="42" t="str">
        <f t="shared" si="137"/>
        <v>U</v>
      </c>
      <c r="Y278" s="42"/>
      <c r="Z278" s="42">
        <v>60</v>
      </c>
      <c r="AA278" s="42"/>
      <c r="AB278" s="42" t="str">
        <f t="shared" si="138"/>
        <v>PHO/DAL</v>
      </c>
      <c r="AC278" s="42">
        <f t="shared" si="139"/>
        <v>1</v>
      </c>
      <c r="AD278" s="42">
        <f t="shared" si="140"/>
        <v>3</v>
      </c>
    </row>
    <row r="279" spans="1:30" ht="17.100000000000001" x14ac:dyDescent="0.45">
      <c r="A279" s="42">
        <v>191130</v>
      </c>
      <c r="B279" s="44">
        <v>0.5</v>
      </c>
      <c r="C279" s="42" t="s">
        <v>309</v>
      </c>
      <c r="D279" s="5" t="s">
        <v>310</v>
      </c>
      <c r="E279" s="42">
        <v>25</v>
      </c>
      <c r="F279" s="42">
        <v>28</v>
      </c>
      <c r="G279" s="42">
        <v>28</v>
      </c>
      <c r="H279" s="42">
        <v>26</v>
      </c>
      <c r="I279" s="42"/>
      <c r="J279" s="42">
        <v>28</v>
      </c>
      <c r="K279" s="42">
        <v>19</v>
      </c>
      <c r="L279" s="42">
        <v>31</v>
      </c>
      <c r="M279" s="42">
        <v>25</v>
      </c>
      <c r="N279" s="42"/>
      <c r="O279" s="42">
        <f t="shared" si="128"/>
        <v>107</v>
      </c>
      <c r="P279" s="42">
        <f t="shared" si="129"/>
        <v>103</v>
      </c>
      <c r="Q279" s="42" t="str">
        <f t="shared" si="130"/>
        <v>HL</v>
      </c>
      <c r="R279" s="42" t="str">
        <f t="shared" si="131"/>
        <v>HW</v>
      </c>
      <c r="S279" s="42" t="str">
        <f t="shared" si="132"/>
        <v>HL</v>
      </c>
      <c r="T279" s="42" t="str">
        <f t="shared" si="133"/>
        <v>HW</v>
      </c>
      <c r="U279" s="42" t="str">
        <f t="shared" si="134"/>
        <v>U</v>
      </c>
      <c r="V279" s="42" t="str">
        <f t="shared" si="135"/>
        <v>U</v>
      </c>
      <c r="W279" s="42" t="str">
        <f t="shared" si="136"/>
        <v>O</v>
      </c>
      <c r="X279" s="42" t="str">
        <f t="shared" si="137"/>
        <v>U</v>
      </c>
      <c r="Y279" s="42"/>
      <c r="Z279" s="42">
        <v>57.5</v>
      </c>
      <c r="AA279" s="42"/>
      <c r="AB279" s="42" t="str">
        <f t="shared" si="138"/>
        <v>POR/CHI</v>
      </c>
      <c r="AC279" s="42">
        <f t="shared" si="139"/>
        <v>1</v>
      </c>
      <c r="AD279" s="42">
        <f t="shared" si="140"/>
        <v>3</v>
      </c>
    </row>
    <row r="280" spans="1:30" ht="17.100000000000001" x14ac:dyDescent="0.45">
      <c r="A280" s="42">
        <v>191130</v>
      </c>
      <c r="B280" s="44">
        <v>0.52083333333333337</v>
      </c>
      <c r="C280" s="42" t="s">
        <v>311</v>
      </c>
      <c r="D280" s="5" t="s">
        <v>312</v>
      </c>
      <c r="E280" s="42">
        <v>37</v>
      </c>
      <c r="F280" s="42">
        <v>33</v>
      </c>
      <c r="G280" s="42">
        <v>35</v>
      </c>
      <c r="H280" s="42">
        <v>20</v>
      </c>
      <c r="I280" s="42"/>
      <c r="J280" s="42">
        <v>23</v>
      </c>
      <c r="K280" s="42">
        <v>26</v>
      </c>
      <c r="L280" s="42">
        <v>30</v>
      </c>
      <c r="M280" s="42">
        <v>24</v>
      </c>
      <c r="N280" s="42"/>
      <c r="O280" s="42">
        <f t="shared" si="128"/>
        <v>125</v>
      </c>
      <c r="P280" s="42">
        <f t="shared" si="129"/>
        <v>103</v>
      </c>
      <c r="Q280" s="42" t="str">
        <f t="shared" si="130"/>
        <v>HW</v>
      </c>
      <c r="R280" s="42" t="str">
        <f t="shared" si="131"/>
        <v>HW</v>
      </c>
      <c r="S280" s="42" t="str">
        <f t="shared" si="132"/>
        <v>HW</v>
      </c>
      <c r="T280" s="42" t="str">
        <f t="shared" si="133"/>
        <v>HL</v>
      </c>
      <c r="U280" s="42" t="str">
        <f t="shared" si="134"/>
        <v>T</v>
      </c>
      <c r="V280" s="42" t="str">
        <f t="shared" si="135"/>
        <v>U</v>
      </c>
      <c r="W280" s="42" t="str">
        <f t="shared" si="136"/>
        <v>O</v>
      </c>
      <c r="X280" s="42" t="str">
        <f t="shared" si="137"/>
        <v>U</v>
      </c>
      <c r="Y280" s="42"/>
      <c r="Z280" s="42">
        <v>60</v>
      </c>
      <c r="AA280" s="42"/>
      <c r="AB280" s="42" t="str">
        <f t="shared" si="138"/>
        <v>LAL/WAS</v>
      </c>
      <c r="AC280" s="42">
        <f t="shared" si="139"/>
        <v>1</v>
      </c>
      <c r="AD280" s="42">
        <f t="shared" si="140"/>
        <v>2</v>
      </c>
    </row>
    <row r="281" spans="1:30" ht="17.100000000000001" x14ac:dyDescent="0.45">
      <c r="A281" s="42">
        <v>191201</v>
      </c>
      <c r="B281" s="44">
        <v>0.29166666666666669</v>
      </c>
      <c r="C281" s="15" t="s">
        <v>313</v>
      </c>
      <c r="D281" s="15" t="s">
        <v>314</v>
      </c>
      <c r="E281" s="42">
        <v>17</v>
      </c>
      <c r="F281" s="42">
        <v>23</v>
      </c>
      <c r="G281" s="42">
        <v>27</v>
      </c>
      <c r="H281" s="42">
        <v>23</v>
      </c>
      <c r="I281" s="42">
        <v>10</v>
      </c>
      <c r="J281" s="42">
        <v>27</v>
      </c>
      <c r="K281" s="42">
        <v>30</v>
      </c>
      <c r="L281" s="42">
        <v>18</v>
      </c>
      <c r="M281" s="42">
        <v>15</v>
      </c>
      <c r="N281" s="42">
        <v>7</v>
      </c>
      <c r="O281" s="42">
        <f t="shared" ref="O281:O299" si="141">SUM(E281:I281)</f>
        <v>100</v>
      </c>
      <c r="P281" s="42">
        <f t="shared" ref="P281:P299" si="142">SUM(J281:N281)</f>
        <v>97</v>
      </c>
      <c r="Q281" s="42" t="str">
        <f t="shared" ref="Q281:Q299" si="143">IF(E281=J281,"TT",IF(E281&gt;J281,"HW","HL"))</f>
        <v>HL</v>
      </c>
      <c r="R281" s="42" t="str">
        <f t="shared" ref="R281:R299" si="144">IF(F281=K281,"TT",IF(F281&gt;K281,"HW","HL"))</f>
        <v>HL</v>
      </c>
      <c r="S281" s="42" t="str">
        <f t="shared" ref="S281:S299" si="145">IF(G281=L281,"TT",IF(G281&gt;L281,"HW","HL"))</f>
        <v>HW</v>
      </c>
      <c r="T281" s="42" t="str">
        <f t="shared" ref="T281:T299" si="146">IF(H281=M281,"TT",IF(H281&gt;M281,"HW","HL"))</f>
        <v>HW</v>
      </c>
      <c r="U281" s="42" t="str">
        <f t="shared" ref="U281:U299" si="147">IF(SUM(E281,J281)=$Z281,"T",IF(SUM(E281,J281)&gt;$Z281,"O","U"))</f>
        <v>U</v>
      </c>
      <c r="V281" s="42" t="str">
        <f t="shared" ref="V281:V299" si="148">IF(SUM(F281,K281)=$Z281,"T",IF(SUM(F281,K281)&gt;$Z281,"O","U"))</f>
        <v>U</v>
      </c>
      <c r="W281" s="42" t="str">
        <f t="shared" ref="W281:W299" si="149">IF(SUM(G281,L281)=$Z281,"T",IF(SUM(G281,L281)&gt;$Z281,"O","U"))</f>
        <v>U</v>
      </c>
      <c r="X281" s="42" t="str">
        <f t="shared" ref="X281:X299" si="150">IF(SUM(H281,M281)=$Z281,"T",IF(SUM(H281,M281)&gt;$Z281,"O","U"))</f>
        <v>U</v>
      </c>
      <c r="Z281" s="42">
        <v>53.5</v>
      </c>
      <c r="AB281" s="42" t="str">
        <f t="shared" ref="AB281" si="151">C281&amp;"/"&amp;D281</f>
        <v>SAC/DEN</v>
      </c>
      <c r="AC281" s="42">
        <f t="shared" ref="AC281" si="152">COUNTIF(U281:X281,"o")</f>
        <v>0</v>
      </c>
      <c r="AD281" s="42">
        <f t="shared" ref="AD281" si="153">COUNTIF(U281:X281,"u")</f>
        <v>4</v>
      </c>
    </row>
    <row r="282" spans="1:30" ht="17.100000000000001" x14ac:dyDescent="0.45">
      <c r="A282" s="42">
        <v>191201</v>
      </c>
      <c r="B282" s="44">
        <v>0.375</v>
      </c>
      <c r="C282" s="11" t="s">
        <v>315</v>
      </c>
      <c r="D282" s="11" t="s">
        <v>316</v>
      </c>
      <c r="E282" s="42">
        <v>38</v>
      </c>
      <c r="F282" s="42">
        <v>27</v>
      </c>
      <c r="G282" s="42">
        <v>28</v>
      </c>
      <c r="H282" s="42">
        <v>26</v>
      </c>
      <c r="I282" s="42"/>
      <c r="J282" s="42">
        <v>29</v>
      </c>
      <c r="K282" s="42">
        <v>36</v>
      </c>
      <c r="L282" s="42">
        <v>28</v>
      </c>
      <c r="M282" s="42">
        <v>23</v>
      </c>
      <c r="N282" s="42"/>
      <c r="O282" s="42">
        <f t="shared" si="141"/>
        <v>119</v>
      </c>
      <c r="P282" s="42">
        <f t="shared" si="142"/>
        <v>116</v>
      </c>
      <c r="Q282" s="42" t="str">
        <f t="shared" si="143"/>
        <v>HW</v>
      </c>
      <c r="R282" s="42" t="str">
        <f t="shared" si="144"/>
        <v>HL</v>
      </c>
      <c r="S282" s="42" t="str">
        <f t="shared" si="145"/>
        <v>TT</v>
      </c>
      <c r="T282" s="42" t="str">
        <f t="shared" si="146"/>
        <v>HW</v>
      </c>
      <c r="U282" s="42" t="str">
        <f t="shared" si="147"/>
        <v>O</v>
      </c>
      <c r="V282" s="42" t="str">
        <f t="shared" si="148"/>
        <v>O</v>
      </c>
      <c r="W282" s="42" t="str">
        <f t="shared" si="149"/>
        <v>O</v>
      </c>
      <c r="X282" s="42" t="str">
        <f t="shared" si="150"/>
        <v>U</v>
      </c>
      <c r="Z282" s="42">
        <v>53.5</v>
      </c>
      <c r="AB282" s="42" t="str">
        <f t="shared" ref="AB282:AB299" si="154">C282&amp;"/"&amp;D282</f>
        <v>PHI/IND</v>
      </c>
      <c r="AC282" s="42">
        <f t="shared" ref="AC282:AC299" si="155">COUNTIF(U282:X282,"o")</f>
        <v>3</v>
      </c>
      <c r="AD282" s="42">
        <f t="shared" ref="AD282:AD299" si="156">COUNTIF(U282:X282,"u")</f>
        <v>1</v>
      </c>
    </row>
    <row r="283" spans="1:30" ht="17.100000000000001" x14ac:dyDescent="0.45">
      <c r="A283" s="42">
        <v>191201</v>
      </c>
      <c r="B283" s="44">
        <v>0.41666666666666669</v>
      </c>
      <c r="C283" s="15" t="s">
        <v>317</v>
      </c>
      <c r="D283" s="11" t="s">
        <v>318</v>
      </c>
      <c r="E283" s="42">
        <v>38</v>
      </c>
      <c r="F283" s="42">
        <v>43</v>
      </c>
      <c r="G283" s="42">
        <v>46</v>
      </c>
      <c r="H283" s="42">
        <v>31</v>
      </c>
      <c r="I283" s="42"/>
      <c r="J283" s="42">
        <v>21</v>
      </c>
      <c r="K283" s="42">
        <v>31</v>
      </c>
      <c r="L283" s="42">
        <v>21</v>
      </c>
      <c r="M283" s="42">
        <v>38</v>
      </c>
      <c r="N283" s="42"/>
      <c r="O283" s="42">
        <f t="shared" si="141"/>
        <v>158</v>
      </c>
      <c r="P283" s="42">
        <f t="shared" si="142"/>
        <v>111</v>
      </c>
      <c r="Q283" s="42" t="str">
        <f t="shared" si="143"/>
        <v>HW</v>
      </c>
      <c r="R283" s="42" t="str">
        <f t="shared" si="144"/>
        <v>HW</v>
      </c>
      <c r="S283" s="42" t="str">
        <f t="shared" si="145"/>
        <v>HW</v>
      </c>
      <c r="T283" s="42" t="str">
        <f t="shared" si="146"/>
        <v>HL</v>
      </c>
      <c r="U283" s="42" t="str">
        <f t="shared" si="147"/>
        <v>U</v>
      </c>
      <c r="V283" s="42" t="str">
        <f t="shared" si="148"/>
        <v>O</v>
      </c>
      <c r="W283" s="42" t="str">
        <f t="shared" si="149"/>
        <v>O</v>
      </c>
      <c r="X283" s="42" t="str">
        <f t="shared" si="150"/>
        <v>O</v>
      </c>
      <c r="Z283" s="42">
        <v>60.5</v>
      </c>
      <c r="AB283" s="42" t="str">
        <f t="shared" si="154"/>
        <v>HOU/ATL</v>
      </c>
      <c r="AC283" s="42">
        <f t="shared" si="155"/>
        <v>3</v>
      </c>
      <c r="AD283" s="42">
        <f t="shared" si="156"/>
        <v>1</v>
      </c>
    </row>
    <row r="284" spans="1:30" ht="17.100000000000001" x14ac:dyDescent="0.45">
      <c r="A284" s="42">
        <v>191201</v>
      </c>
      <c r="B284" s="44">
        <v>0.41666666666666669</v>
      </c>
      <c r="C284" s="42" t="s">
        <v>319</v>
      </c>
      <c r="D284" s="11" t="s">
        <v>320</v>
      </c>
      <c r="E284" s="42">
        <v>32</v>
      </c>
      <c r="F284" s="42">
        <v>34</v>
      </c>
      <c r="G284" s="42">
        <v>35</v>
      </c>
      <c r="H284" s="42">
        <v>36</v>
      </c>
      <c r="I284" s="42"/>
      <c r="J284" s="42">
        <v>25</v>
      </c>
      <c r="K284" s="42">
        <v>24</v>
      </c>
      <c r="L284" s="42">
        <v>26</v>
      </c>
      <c r="M284" s="42">
        <v>21</v>
      </c>
      <c r="N284" s="42"/>
      <c r="O284" s="42">
        <f t="shared" si="141"/>
        <v>137</v>
      </c>
      <c r="P284" s="42">
        <f t="shared" si="142"/>
        <v>96</v>
      </c>
      <c r="Q284" s="42" t="str">
        <f t="shared" si="143"/>
        <v>HW</v>
      </c>
      <c r="R284" s="42" t="str">
        <f t="shared" si="144"/>
        <v>HW</v>
      </c>
      <c r="S284" s="42" t="str">
        <f t="shared" si="145"/>
        <v>HW</v>
      </c>
      <c r="T284" s="42" t="str">
        <f t="shared" si="146"/>
        <v>HW</v>
      </c>
      <c r="U284" s="42" t="str">
        <f t="shared" si="147"/>
        <v>U</v>
      </c>
      <c r="V284" s="42" t="str">
        <f t="shared" si="148"/>
        <v>T</v>
      </c>
      <c r="W284" s="42" t="str">
        <f t="shared" si="149"/>
        <v>O</v>
      </c>
      <c r="X284" s="42" t="str">
        <f t="shared" si="150"/>
        <v>U</v>
      </c>
      <c r="Z284" s="42">
        <v>58</v>
      </c>
      <c r="AB284" s="42" t="str">
        <f t="shared" si="154"/>
        <v>MIL/CHA</v>
      </c>
      <c r="AC284" s="42">
        <f t="shared" si="155"/>
        <v>1</v>
      </c>
      <c r="AD284" s="42">
        <f t="shared" si="156"/>
        <v>2</v>
      </c>
    </row>
    <row r="285" spans="1:30" ht="17.100000000000001" x14ac:dyDescent="0.45">
      <c r="A285" s="42">
        <v>191202</v>
      </c>
      <c r="B285" s="44">
        <v>0.20833333333333334</v>
      </c>
      <c r="C285" s="42" t="s">
        <v>321</v>
      </c>
      <c r="D285" s="5" t="s">
        <v>322</v>
      </c>
      <c r="E285" s="42">
        <v>30</v>
      </c>
      <c r="F285" s="42">
        <v>35</v>
      </c>
      <c r="G285" s="42">
        <v>16</v>
      </c>
      <c r="H285" s="42">
        <v>25</v>
      </c>
      <c r="I285" s="42"/>
      <c r="J285" s="42">
        <v>32</v>
      </c>
      <c r="K285" s="42">
        <v>26</v>
      </c>
      <c r="L285" s="42">
        <v>25</v>
      </c>
      <c r="M285" s="42">
        <v>26</v>
      </c>
      <c r="N285" s="42"/>
      <c r="O285" s="42">
        <f t="shared" si="141"/>
        <v>106</v>
      </c>
      <c r="P285" s="42">
        <f t="shared" si="142"/>
        <v>109</v>
      </c>
      <c r="Q285" s="42" t="str">
        <f t="shared" si="143"/>
        <v>HL</v>
      </c>
      <c r="R285" s="42" t="str">
        <f t="shared" si="144"/>
        <v>HW</v>
      </c>
      <c r="S285" s="42" t="str">
        <f t="shared" si="145"/>
        <v>HL</v>
      </c>
      <c r="T285" s="42" t="str">
        <f t="shared" si="146"/>
        <v>HL</v>
      </c>
      <c r="U285" s="42" t="str">
        <f t="shared" si="147"/>
        <v>O</v>
      </c>
      <c r="V285" s="42" t="str">
        <f t="shared" si="148"/>
        <v>O</v>
      </c>
      <c r="W285" s="42" t="str">
        <f t="shared" si="149"/>
        <v>U</v>
      </c>
      <c r="X285" s="42" t="str">
        <f t="shared" si="150"/>
        <v>U</v>
      </c>
      <c r="Z285" s="42">
        <v>55.5</v>
      </c>
      <c r="AB285" s="42" t="str">
        <f t="shared" si="154"/>
        <v>BKN/MIA</v>
      </c>
      <c r="AC285" s="42">
        <f t="shared" si="155"/>
        <v>2</v>
      </c>
      <c r="AD285" s="42">
        <f t="shared" si="156"/>
        <v>2</v>
      </c>
    </row>
    <row r="286" spans="1:30" ht="17.100000000000001" x14ac:dyDescent="0.45">
      <c r="A286" s="42">
        <v>191202</v>
      </c>
      <c r="B286" s="44">
        <v>0.22916666666666666</v>
      </c>
      <c r="C286" s="42" t="s">
        <v>323</v>
      </c>
      <c r="D286" s="5" t="s">
        <v>324</v>
      </c>
      <c r="E286" s="42">
        <v>21</v>
      </c>
      <c r="F286" s="42">
        <v>26</v>
      </c>
      <c r="G286" s="42">
        <v>32</v>
      </c>
      <c r="H286" s="42">
        <v>28</v>
      </c>
      <c r="I286" s="42"/>
      <c r="J286" s="42">
        <v>25</v>
      </c>
      <c r="K286" s="42">
        <v>23</v>
      </c>
      <c r="L286" s="42">
        <v>38</v>
      </c>
      <c r="M286" s="42">
        <v>29</v>
      </c>
      <c r="N286" s="42"/>
      <c r="O286" s="42">
        <f t="shared" si="141"/>
        <v>107</v>
      </c>
      <c r="P286" s="42">
        <f t="shared" si="142"/>
        <v>115</v>
      </c>
      <c r="Q286" s="42" t="str">
        <f t="shared" si="143"/>
        <v>HL</v>
      </c>
      <c r="R286" s="42" t="str">
        <f t="shared" si="144"/>
        <v>HW</v>
      </c>
      <c r="S286" s="42" t="str">
        <f t="shared" si="145"/>
        <v>HL</v>
      </c>
      <c r="T286" s="42" t="str">
        <f t="shared" si="146"/>
        <v>HL</v>
      </c>
      <c r="U286" s="42" t="str">
        <f t="shared" si="147"/>
        <v>U</v>
      </c>
      <c r="V286" s="42" t="str">
        <f t="shared" si="148"/>
        <v>U</v>
      </c>
      <c r="W286" s="42" t="str">
        <f t="shared" si="149"/>
        <v>O</v>
      </c>
      <c r="X286" s="42" t="str">
        <f t="shared" si="150"/>
        <v>O</v>
      </c>
      <c r="Z286" s="42">
        <v>56.5</v>
      </c>
      <c r="AB286" s="42" t="str">
        <f t="shared" si="154"/>
        <v>MIN/MEM</v>
      </c>
      <c r="AC286" s="42">
        <f t="shared" si="155"/>
        <v>2</v>
      </c>
      <c r="AD286" s="42">
        <f t="shared" si="156"/>
        <v>2</v>
      </c>
    </row>
    <row r="287" spans="1:30" ht="17.100000000000001" x14ac:dyDescent="0.45">
      <c r="A287" s="42">
        <v>191202</v>
      </c>
      <c r="B287" s="44">
        <v>0.22916666666666666</v>
      </c>
      <c r="C287" s="42" t="s">
        <v>325</v>
      </c>
      <c r="D287" s="5" t="s">
        <v>326</v>
      </c>
      <c r="E287" s="42">
        <v>30</v>
      </c>
      <c r="F287" s="42">
        <v>28</v>
      </c>
      <c r="G287" s="42">
        <v>27</v>
      </c>
      <c r="H287" s="42">
        <v>19</v>
      </c>
      <c r="I287" s="42"/>
      <c r="J287" s="42">
        <v>31</v>
      </c>
      <c r="K287" s="42">
        <v>27</v>
      </c>
      <c r="L287" s="42">
        <v>23</v>
      </c>
      <c r="M287" s="42">
        <v>32</v>
      </c>
      <c r="N287" s="42"/>
      <c r="O287" s="42">
        <f t="shared" si="141"/>
        <v>104</v>
      </c>
      <c r="P287" s="42">
        <f t="shared" si="142"/>
        <v>113</v>
      </c>
      <c r="Q287" s="42" t="str">
        <f t="shared" si="143"/>
        <v>HL</v>
      </c>
      <c r="R287" s="42" t="str">
        <f t="shared" si="144"/>
        <v>HW</v>
      </c>
      <c r="S287" s="42" t="str">
        <f t="shared" si="145"/>
        <v>HW</v>
      </c>
      <c r="T287" s="42" t="str">
        <f t="shared" si="146"/>
        <v>HL</v>
      </c>
      <c r="U287" s="42" t="str">
        <f t="shared" si="147"/>
        <v>O</v>
      </c>
      <c r="V287" s="42" t="str">
        <f t="shared" si="148"/>
        <v>O</v>
      </c>
      <c r="W287" s="42" t="str">
        <f t="shared" si="149"/>
        <v>U</v>
      </c>
      <c r="X287" s="42" t="str">
        <f t="shared" si="150"/>
        <v>T</v>
      </c>
      <c r="Z287" s="42">
        <v>51</v>
      </c>
      <c r="AB287" s="42" t="str">
        <f t="shared" si="154"/>
        <v>NYK/BOS</v>
      </c>
      <c r="AC287" s="42">
        <f t="shared" si="155"/>
        <v>2</v>
      </c>
      <c r="AD287" s="42">
        <f t="shared" si="156"/>
        <v>1</v>
      </c>
    </row>
    <row r="288" spans="1:30" ht="17.100000000000001" x14ac:dyDescent="0.45">
      <c r="A288" s="42">
        <v>191202</v>
      </c>
      <c r="B288" s="44">
        <v>0.25</v>
      </c>
      <c r="C288" s="42" t="s">
        <v>327</v>
      </c>
      <c r="D288" s="5" t="s">
        <v>328</v>
      </c>
      <c r="E288" s="42">
        <v>30</v>
      </c>
      <c r="F288" s="42">
        <v>32</v>
      </c>
      <c r="G288" s="42">
        <v>17</v>
      </c>
      <c r="H288" s="42">
        <v>21</v>
      </c>
      <c r="I288" s="42"/>
      <c r="J288" s="42">
        <v>25</v>
      </c>
      <c r="K288" s="42">
        <v>34</v>
      </c>
      <c r="L288" s="42">
        <v>35</v>
      </c>
      <c r="M288" s="42">
        <v>20</v>
      </c>
      <c r="N288" s="42"/>
      <c r="O288" s="42">
        <f t="shared" si="141"/>
        <v>100</v>
      </c>
      <c r="P288" s="42">
        <f t="shared" si="142"/>
        <v>114</v>
      </c>
      <c r="Q288" s="42" t="str">
        <f t="shared" si="143"/>
        <v>HW</v>
      </c>
      <c r="R288" s="42" t="str">
        <f t="shared" si="144"/>
        <v>HL</v>
      </c>
      <c r="S288" s="42" t="str">
        <f t="shared" si="145"/>
        <v>HL</v>
      </c>
      <c r="T288" s="42" t="str">
        <f t="shared" si="146"/>
        <v>HW</v>
      </c>
      <c r="U288" s="42" t="str">
        <f t="shared" si="147"/>
        <v>U</v>
      </c>
      <c r="V288" s="42" t="str">
        <f t="shared" si="148"/>
        <v>O</v>
      </c>
      <c r="W288" s="42" t="str">
        <f t="shared" si="149"/>
        <v>U</v>
      </c>
      <c r="X288" s="42" t="str">
        <f t="shared" si="150"/>
        <v>U</v>
      </c>
      <c r="Z288" s="42">
        <v>57.5</v>
      </c>
      <c r="AB288" s="42" t="str">
        <f t="shared" si="154"/>
        <v>LAL/DAL</v>
      </c>
      <c r="AC288" s="42">
        <f t="shared" si="155"/>
        <v>1</v>
      </c>
      <c r="AD288" s="42">
        <f t="shared" si="156"/>
        <v>3</v>
      </c>
    </row>
    <row r="289" spans="1:30" ht="17.100000000000001" x14ac:dyDescent="0.45">
      <c r="A289" s="42">
        <v>191202</v>
      </c>
      <c r="B289" s="44">
        <v>0.29166666666666669</v>
      </c>
      <c r="C289" s="42" t="s">
        <v>329</v>
      </c>
      <c r="D289" s="5" t="s">
        <v>330</v>
      </c>
      <c r="E289" s="42">
        <v>29</v>
      </c>
      <c r="F289" s="42">
        <v>26</v>
      </c>
      <c r="G289" s="42">
        <v>22</v>
      </c>
      <c r="H289" s="42">
        <v>27</v>
      </c>
      <c r="I289" s="42"/>
      <c r="J289" s="42">
        <v>33</v>
      </c>
      <c r="K289" s="42">
        <v>23</v>
      </c>
      <c r="L289" s="42">
        <v>26</v>
      </c>
      <c r="M289" s="42">
        <v>25</v>
      </c>
      <c r="N289" s="42"/>
      <c r="O289" s="42">
        <f t="shared" si="141"/>
        <v>104</v>
      </c>
      <c r="P289" s="42">
        <f t="shared" si="142"/>
        <v>107</v>
      </c>
      <c r="Q289" s="42" t="str">
        <f t="shared" si="143"/>
        <v>HL</v>
      </c>
      <c r="R289" s="42" t="str">
        <f t="shared" si="144"/>
        <v>HW</v>
      </c>
      <c r="S289" s="42" t="str">
        <f t="shared" si="145"/>
        <v>HL</v>
      </c>
      <c r="T289" s="42" t="str">
        <f t="shared" si="146"/>
        <v>HW</v>
      </c>
      <c r="U289" s="42" t="str">
        <f t="shared" si="147"/>
        <v>O</v>
      </c>
      <c r="V289" s="42" t="str">
        <f t="shared" si="148"/>
        <v>U</v>
      </c>
      <c r="W289" s="42" t="str">
        <f t="shared" si="149"/>
        <v>U</v>
      </c>
      <c r="X289" s="42" t="str">
        <f t="shared" si="150"/>
        <v>U</v>
      </c>
      <c r="Z289" s="42">
        <v>58.5</v>
      </c>
      <c r="AB289" s="42" t="str">
        <f t="shared" si="154"/>
        <v>NO/OKC</v>
      </c>
      <c r="AC289" s="42">
        <f t="shared" si="155"/>
        <v>1</v>
      </c>
      <c r="AD289" s="42">
        <f t="shared" si="156"/>
        <v>3</v>
      </c>
    </row>
    <row r="290" spans="1:30" ht="17.100000000000001" x14ac:dyDescent="0.45">
      <c r="A290" s="42">
        <v>191202</v>
      </c>
      <c r="B290" s="44">
        <v>0.29166666666666669</v>
      </c>
      <c r="C290" s="42" t="s">
        <v>331</v>
      </c>
      <c r="D290" s="5" t="s">
        <v>332</v>
      </c>
      <c r="E290" s="42">
        <v>32</v>
      </c>
      <c r="F290" s="42">
        <v>27</v>
      </c>
      <c r="G290" s="42">
        <v>37</v>
      </c>
      <c r="H290" s="42">
        <v>36</v>
      </c>
      <c r="I290" s="42"/>
      <c r="J290" s="42">
        <v>27</v>
      </c>
      <c r="K290" s="42">
        <v>24</v>
      </c>
      <c r="L290" s="42">
        <v>20</v>
      </c>
      <c r="M290" s="42">
        <v>27</v>
      </c>
      <c r="N290" s="42"/>
      <c r="O290" s="42">
        <f t="shared" si="141"/>
        <v>132</v>
      </c>
      <c r="P290" s="42">
        <f t="shared" si="142"/>
        <v>98</v>
      </c>
      <c r="Q290" s="42" t="str">
        <f t="shared" si="143"/>
        <v>HW</v>
      </c>
      <c r="R290" s="42" t="str">
        <f t="shared" si="144"/>
        <v>HW</v>
      </c>
      <c r="S290" s="42" t="str">
        <f t="shared" si="145"/>
        <v>HW</v>
      </c>
      <c r="T290" s="42" t="str">
        <f t="shared" si="146"/>
        <v>HW</v>
      </c>
      <c r="U290" s="42" t="str">
        <f t="shared" si="147"/>
        <v>O</v>
      </c>
      <c r="V290" s="42" t="str">
        <f t="shared" si="148"/>
        <v>U</v>
      </c>
      <c r="W290" s="42" t="str">
        <f t="shared" si="149"/>
        <v>O</v>
      </c>
      <c r="X290" s="42" t="str">
        <f t="shared" si="150"/>
        <v>O</v>
      </c>
      <c r="Z290" s="42">
        <v>53</v>
      </c>
      <c r="AB290" s="42" t="str">
        <f t="shared" si="154"/>
        <v>DET/SAS</v>
      </c>
      <c r="AC290" s="42">
        <f t="shared" si="155"/>
        <v>3</v>
      </c>
      <c r="AD290" s="42">
        <f t="shared" si="156"/>
        <v>1</v>
      </c>
    </row>
    <row r="291" spans="1:30" ht="17.100000000000001" x14ac:dyDescent="0.45">
      <c r="A291" s="42">
        <v>191202</v>
      </c>
      <c r="B291" s="44">
        <v>0.33333333333333331</v>
      </c>
      <c r="C291" s="42" t="s">
        <v>333</v>
      </c>
      <c r="D291" s="5" t="s">
        <v>334</v>
      </c>
      <c r="E291" s="42">
        <v>26</v>
      </c>
      <c r="F291" s="42">
        <v>25</v>
      </c>
      <c r="G291" s="42">
        <v>21</v>
      </c>
      <c r="H291" s="42">
        <v>28</v>
      </c>
      <c r="I291" s="42"/>
      <c r="J291" s="42">
        <v>22</v>
      </c>
      <c r="K291" s="42">
        <v>29</v>
      </c>
      <c r="L291" s="42">
        <v>20</v>
      </c>
      <c r="M291" s="42">
        <v>25</v>
      </c>
      <c r="N291" s="42"/>
      <c r="O291" s="42">
        <f t="shared" si="141"/>
        <v>100</v>
      </c>
      <c r="P291" s="42">
        <f t="shared" si="142"/>
        <v>96</v>
      </c>
      <c r="Q291" s="42" t="str">
        <f t="shared" si="143"/>
        <v>HW</v>
      </c>
      <c r="R291" s="42" t="str">
        <f t="shared" si="144"/>
        <v>HL</v>
      </c>
      <c r="S291" s="42" t="str">
        <f t="shared" si="145"/>
        <v>HW</v>
      </c>
      <c r="T291" s="42" t="str">
        <f t="shared" si="146"/>
        <v>HW</v>
      </c>
      <c r="U291" s="42" t="str">
        <f t="shared" si="147"/>
        <v>U</v>
      </c>
      <c r="V291" s="42" t="str">
        <f t="shared" si="148"/>
        <v>O</v>
      </c>
      <c r="W291" s="42" t="str">
        <f t="shared" si="149"/>
        <v>U</v>
      </c>
      <c r="X291" s="42" t="str">
        <f t="shared" si="150"/>
        <v>T</v>
      </c>
      <c r="Z291" s="42">
        <v>53</v>
      </c>
      <c r="AB291" s="42" t="str">
        <f t="shared" si="154"/>
        <v>ORL/GS</v>
      </c>
      <c r="AC291" s="42">
        <f t="shared" si="155"/>
        <v>1</v>
      </c>
      <c r="AD291" s="42">
        <f t="shared" si="156"/>
        <v>2</v>
      </c>
    </row>
    <row r="292" spans="1:30" ht="17.100000000000001" x14ac:dyDescent="0.45">
      <c r="A292" s="42">
        <v>191202</v>
      </c>
      <c r="B292" s="44">
        <v>0.33333333333333331</v>
      </c>
      <c r="C292" s="42" t="s">
        <v>335</v>
      </c>
      <c r="D292" s="5" t="s">
        <v>336</v>
      </c>
      <c r="E292" s="42">
        <v>37</v>
      </c>
      <c r="F292" s="42">
        <v>40</v>
      </c>
      <c r="G292" s="42">
        <v>30</v>
      </c>
      <c r="H292" s="42">
        <v>23</v>
      </c>
      <c r="I292" s="42"/>
      <c r="J292" s="42">
        <v>20</v>
      </c>
      <c r="K292" s="42">
        <v>17</v>
      </c>
      <c r="L292" s="42">
        <v>49</v>
      </c>
      <c r="M292" s="42">
        <v>24</v>
      </c>
      <c r="N292" s="42"/>
      <c r="O292" s="42">
        <f t="shared" si="141"/>
        <v>130</v>
      </c>
      <c r="P292" s="42">
        <f t="shared" si="142"/>
        <v>110</v>
      </c>
      <c r="Q292" s="42" t="str">
        <f t="shared" si="143"/>
        <v>HW</v>
      </c>
      <c r="R292" s="42" t="str">
        <f t="shared" si="144"/>
        <v>HW</v>
      </c>
      <c r="S292" s="42" t="str">
        <f t="shared" si="145"/>
        <v>HL</v>
      </c>
      <c r="T292" s="42" t="str">
        <f t="shared" si="146"/>
        <v>HL</v>
      </c>
      <c r="U292" s="42" t="str">
        <f t="shared" si="147"/>
        <v>O</v>
      </c>
      <c r="V292" s="42" t="str">
        <f t="shared" si="148"/>
        <v>O</v>
      </c>
      <c r="W292" s="42" t="str">
        <f t="shared" si="149"/>
        <v>O</v>
      </c>
      <c r="X292" s="42" t="str">
        <f t="shared" si="150"/>
        <v>U</v>
      </c>
      <c r="Z292" s="42">
        <v>51.5</v>
      </c>
      <c r="AB292" s="42" t="str">
        <f t="shared" si="154"/>
        <v>TOR/UTA</v>
      </c>
      <c r="AC292" s="42">
        <f t="shared" si="155"/>
        <v>3</v>
      </c>
      <c r="AD292" s="42">
        <f t="shared" si="156"/>
        <v>1</v>
      </c>
    </row>
    <row r="293" spans="1:30" ht="17.100000000000001" x14ac:dyDescent="0.45">
      <c r="A293" s="42">
        <v>191202</v>
      </c>
      <c r="B293" s="44">
        <v>0.52083333333333337</v>
      </c>
      <c r="C293" s="42" t="s">
        <v>337</v>
      </c>
      <c r="D293" s="5" t="s">
        <v>338</v>
      </c>
      <c r="E293" s="42">
        <v>39</v>
      </c>
      <c r="F293" s="42">
        <v>43</v>
      </c>
      <c r="G293" s="42">
        <v>34</v>
      </c>
      <c r="H293" s="42">
        <v>34</v>
      </c>
      <c r="I293" s="42"/>
      <c r="J293" s="42">
        <v>35</v>
      </c>
      <c r="K293" s="42">
        <v>22</v>
      </c>
      <c r="L293" s="42">
        <v>41</v>
      </c>
      <c r="M293" s="42">
        <v>27</v>
      </c>
      <c r="N293" s="42"/>
      <c r="O293" s="42">
        <f t="shared" si="141"/>
        <v>150</v>
      </c>
      <c r="P293" s="42">
        <f t="shared" si="142"/>
        <v>125</v>
      </c>
      <c r="Q293" s="42" t="str">
        <f t="shared" si="143"/>
        <v>HW</v>
      </c>
      <c r="R293" s="42" t="str">
        <f t="shared" si="144"/>
        <v>HW</v>
      </c>
      <c r="S293" s="42" t="str">
        <f t="shared" si="145"/>
        <v>HL</v>
      </c>
      <c r="T293" s="42" t="str">
        <f t="shared" si="146"/>
        <v>HW</v>
      </c>
      <c r="U293" s="42" t="str">
        <f t="shared" si="147"/>
        <v>O</v>
      </c>
      <c r="V293" s="42" t="str">
        <f t="shared" si="148"/>
        <v>O</v>
      </c>
      <c r="W293" s="42" t="str">
        <f t="shared" si="149"/>
        <v>O</v>
      </c>
      <c r="X293" s="42" t="str">
        <f t="shared" si="150"/>
        <v>U</v>
      </c>
      <c r="Z293" s="42">
        <v>61.5</v>
      </c>
      <c r="AB293" s="42" t="str">
        <f t="shared" si="154"/>
        <v>LAC/WAS</v>
      </c>
      <c r="AC293" s="42">
        <f t="shared" si="155"/>
        <v>3</v>
      </c>
      <c r="AD293" s="42">
        <f t="shared" si="156"/>
        <v>1</v>
      </c>
    </row>
    <row r="294" spans="1:30" ht="17.100000000000001" x14ac:dyDescent="0.45">
      <c r="A294" s="42">
        <v>191203</v>
      </c>
      <c r="B294" s="44">
        <v>0.375</v>
      </c>
      <c r="C294" s="42" t="s">
        <v>339</v>
      </c>
      <c r="D294" s="5" t="s">
        <v>336</v>
      </c>
      <c r="E294" s="42">
        <v>31</v>
      </c>
      <c r="F294" s="42">
        <v>29</v>
      </c>
      <c r="G294" s="42">
        <v>25</v>
      </c>
      <c r="H294" s="42">
        <v>18</v>
      </c>
      <c r="I294" s="42"/>
      <c r="J294" s="42">
        <v>23</v>
      </c>
      <c r="K294" s="42">
        <v>19</v>
      </c>
      <c r="L294" s="42">
        <v>24</v>
      </c>
      <c r="M294" s="42">
        <v>28</v>
      </c>
      <c r="N294" s="42"/>
      <c r="O294" s="42">
        <f t="shared" si="141"/>
        <v>103</v>
      </c>
      <c r="P294" s="42">
        <f t="shared" si="142"/>
        <v>94</v>
      </c>
      <c r="Q294" s="42" t="str">
        <f t="shared" si="143"/>
        <v>HW</v>
      </c>
      <c r="R294" s="42" t="str">
        <f t="shared" si="144"/>
        <v>HW</v>
      </c>
      <c r="S294" s="42" t="str">
        <f t="shared" si="145"/>
        <v>HW</v>
      </c>
      <c r="T294" s="42" t="str">
        <f t="shared" si="146"/>
        <v>HL</v>
      </c>
      <c r="U294" s="42" t="str">
        <f t="shared" si="147"/>
        <v>O</v>
      </c>
      <c r="V294" s="42" t="str">
        <f t="shared" si="148"/>
        <v>U</v>
      </c>
      <c r="W294" s="42" t="str">
        <f t="shared" si="149"/>
        <v>U</v>
      </c>
      <c r="X294" s="42" t="str">
        <f t="shared" si="150"/>
        <v>U</v>
      </c>
      <c r="Z294" s="42">
        <v>51</v>
      </c>
      <c r="AB294" s="42" t="str">
        <f t="shared" si="154"/>
        <v>PHI/UTA</v>
      </c>
      <c r="AC294" s="42">
        <f t="shared" si="155"/>
        <v>1</v>
      </c>
      <c r="AD294" s="42">
        <f t="shared" si="156"/>
        <v>3</v>
      </c>
    </row>
    <row r="295" spans="1:30" ht="17.100000000000001" x14ac:dyDescent="0.45">
      <c r="A295" s="42">
        <v>191203</v>
      </c>
      <c r="B295" s="44">
        <v>0.375</v>
      </c>
      <c r="C295" s="42" t="s">
        <v>340</v>
      </c>
      <c r="D295" s="5" t="s">
        <v>341</v>
      </c>
      <c r="E295" s="42">
        <v>21</v>
      </c>
      <c r="F295" s="42">
        <v>18</v>
      </c>
      <c r="G295" s="42">
        <v>34</v>
      </c>
      <c r="H295" s="42">
        <v>31</v>
      </c>
      <c r="I295" s="42"/>
      <c r="J295" s="42">
        <v>28</v>
      </c>
      <c r="K295" s="42">
        <v>31</v>
      </c>
      <c r="L295" s="42">
        <v>21</v>
      </c>
      <c r="M295" s="42">
        <v>29</v>
      </c>
      <c r="N295" s="42"/>
      <c r="O295" s="42">
        <f t="shared" si="141"/>
        <v>104</v>
      </c>
      <c r="P295" s="42">
        <f t="shared" si="142"/>
        <v>109</v>
      </c>
      <c r="Q295" s="42" t="str">
        <f t="shared" si="143"/>
        <v>HL</v>
      </c>
      <c r="R295" s="42" t="str">
        <f t="shared" si="144"/>
        <v>HL</v>
      </c>
      <c r="S295" s="42" t="str">
        <f t="shared" si="145"/>
        <v>HW</v>
      </c>
      <c r="T295" s="42" t="str">
        <f t="shared" si="146"/>
        <v>HW</v>
      </c>
      <c r="U295" s="42" t="str">
        <f t="shared" si="147"/>
        <v>U</v>
      </c>
      <c r="V295" s="42" t="str">
        <f t="shared" si="148"/>
        <v>U</v>
      </c>
      <c r="W295" s="42" t="str">
        <f t="shared" si="149"/>
        <v>O</v>
      </c>
      <c r="X295" s="42" t="str">
        <f t="shared" si="150"/>
        <v>O</v>
      </c>
      <c r="Z295" s="42">
        <v>54.5</v>
      </c>
      <c r="AB295" s="42" t="str">
        <f t="shared" si="154"/>
        <v>CHA/PHO</v>
      </c>
      <c r="AC295" s="42">
        <f t="shared" si="155"/>
        <v>2</v>
      </c>
      <c r="AD295" s="42">
        <f t="shared" si="156"/>
        <v>2</v>
      </c>
    </row>
    <row r="296" spans="1:30" ht="17.100000000000001" x14ac:dyDescent="0.45">
      <c r="A296" s="42">
        <v>191203</v>
      </c>
      <c r="B296" s="44">
        <v>0.39583333333333331</v>
      </c>
      <c r="C296" s="42" t="s">
        <v>342</v>
      </c>
      <c r="D296" s="5" t="s">
        <v>334</v>
      </c>
      <c r="E296" s="42">
        <v>20</v>
      </c>
      <c r="F296" s="42">
        <v>29</v>
      </c>
      <c r="G296" s="42">
        <v>27</v>
      </c>
      <c r="H296" s="42">
        <v>28</v>
      </c>
      <c r="I296" s="42"/>
      <c r="J296" s="42">
        <v>23</v>
      </c>
      <c r="K296" s="42">
        <v>17</v>
      </c>
      <c r="L296" s="42">
        <v>13</v>
      </c>
      <c r="M296" s="42">
        <v>26</v>
      </c>
      <c r="N296" s="42"/>
      <c r="O296" s="42">
        <f t="shared" si="141"/>
        <v>104</v>
      </c>
      <c r="P296" s="42">
        <f t="shared" si="142"/>
        <v>79</v>
      </c>
      <c r="Q296" s="42" t="str">
        <f t="shared" si="143"/>
        <v>HL</v>
      </c>
      <c r="R296" s="42" t="str">
        <f t="shared" si="144"/>
        <v>HW</v>
      </c>
      <c r="S296" s="42" t="str">
        <f t="shared" si="145"/>
        <v>HW</v>
      </c>
      <c r="T296" s="42" t="str">
        <f t="shared" si="146"/>
        <v>HW</v>
      </c>
      <c r="U296" s="42" t="str">
        <f t="shared" si="147"/>
        <v>U</v>
      </c>
      <c r="V296" s="42" t="str">
        <f t="shared" si="148"/>
        <v>U</v>
      </c>
      <c r="W296" s="42" t="str">
        <f t="shared" si="149"/>
        <v>U</v>
      </c>
      <c r="X296" s="42" t="str">
        <f t="shared" si="150"/>
        <v>U</v>
      </c>
      <c r="Z296" s="42">
        <v>57</v>
      </c>
      <c r="AB296" s="42" t="str">
        <f t="shared" si="154"/>
        <v>ATL/GS</v>
      </c>
      <c r="AC296" s="42">
        <f t="shared" si="155"/>
        <v>0</v>
      </c>
      <c r="AD296" s="42">
        <f t="shared" si="156"/>
        <v>4</v>
      </c>
    </row>
    <row r="297" spans="1:30" ht="17.100000000000001" x14ac:dyDescent="0.45">
      <c r="A297" s="42">
        <v>191203</v>
      </c>
      <c r="B297" s="44">
        <v>0.41666666666666669</v>
      </c>
      <c r="C297" s="42" t="s">
        <v>343</v>
      </c>
      <c r="D297" s="5" t="s">
        <v>325</v>
      </c>
      <c r="E297" s="42">
        <v>33</v>
      </c>
      <c r="F297" s="42">
        <v>39</v>
      </c>
      <c r="G297" s="42">
        <v>28</v>
      </c>
      <c r="H297" s="42">
        <v>32</v>
      </c>
      <c r="I297" s="42"/>
      <c r="J297" s="42">
        <v>15</v>
      </c>
      <c r="K297" s="42">
        <v>30</v>
      </c>
      <c r="L297" s="42">
        <v>17</v>
      </c>
      <c r="M297" s="42">
        <v>26</v>
      </c>
      <c r="N297" s="42"/>
      <c r="O297" s="42">
        <f t="shared" si="141"/>
        <v>132</v>
      </c>
      <c r="P297" s="42">
        <f t="shared" si="142"/>
        <v>88</v>
      </c>
      <c r="Q297" s="42" t="str">
        <f t="shared" si="143"/>
        <v>HW</v>
      </c>
      <c r="R297" s="42" t="str">
        <f t="shared" si="144"/>
        <v>HW</v>
      </c>
      <c r="S297" s="42" t="str">
        <f t="shared" si="145"/>
        <v>HW</v>
      </c>
      <c r="T297" s="42" t="str">
        <f t="shared" si="146"/>
        <v>HW</v>
      </c>
      <c r="U297" s="42" t="str">
        <f t="shared" si="147"/>
        <v>U</v>
      </c>
      <c r="V297" s="42" t="str">
        <f t="shared" si="148"/>
        <v>O</v>
      </c>
      <c r="W297" s="42" t="str">
        <f t="shared" si="149"/>
        <v>U</v>
      </c>
      <c r="X297" s="42" t="str">
        <f t="shared" si="150"/>
        <v>O</v>
      </c>
      <c r="Z297" s="42">
        <v>57</v>
      </c>
      <c r="AB297" s="42" t="str">
        <f t="shared" si="154"/>
        <v>MIL/NYK</v>
      </c>
      <c r="AC297" s="42">
        <f t="shared" si="155"/>
        <v>2</v>
      </c>
      <c r="AD297" s="42">
        <f t="shared" si="156"/>
        <v>2</v>
      </c>
    </row>
    <row r="298" spans="1:30" ht="17.100000000000001" x14ac:dyDescent="0.45">
      <c r="A298" s="42">
        <v>191203</v>
      </c>
      <c r="B298" s="44">
        <v>0.41666666666666669</v>
      </c>
      <c r="C298" s="42" t="s">
        <v>324</v>
      </c>
      <c r="D298" s="5" t="s">
        <v>344</v>
      </c>
      <c r="E298" s="42">
        <v>19</v>
      </c>
      <c r="F298" s="42">
        <v>28</v>
      </c>
      <c r="G298" s="42">
        <v>26</v>
      </c>
      <c r="H298" s="42">
        <v>31</v>
      </c>
      <c r="I298" s="42"/>
      <c r="J298" s="42">
        <v>24</v>
      </c>
      <c r="K298" s="42">
        <v>33</v>
      </c>
      <c r="L298" s="42">
        <v>28</v>
      </c>
      <c r="M298" s="42">
        <v>32</v>
      </c>
      <c r="N298" s="42"/>
      <c r="O298" s="42">
        <f t="shared" si="141"/>
        <v>104</v>
      </c>
      <c r="P298" s="42">
        <f t="shared" si="142"/>
        <v>117</v>
      </c>
      <c r="Q298" s="42" t="str">
        <f t="shared" si="143"/>
        <v>HL</v>
      </c>
      <c r="R298" s="42" t="str">
        <f t="shared" si="144"/>
        <v>HL</v>
      </c>
      <c r="S298" s="42" t="str">
        <f t="shared" si="145"/>
        <v>HL</v>
      </c>
      <c r="T298" s="42" t="str">
        <f t="shared" si="146"/>
        <v>HL</v>
      </c>
      <c r="U298" s="42" t="str">
        <f t="shared" si="147"/>
        <v>U</v>
      </c>
      <c r="V298" s="42" t="str">
        <f t="shared" si="148"/>
        <v>O</v>
      </c>
      <c r="W298" s="42" t="str">
        <f t="shared" si="149"/>
        <v>U</v>
      </c>
      <c r="X298" s="42" t="str">
        <f t="shared" si="150"/>
        <v>O</v>
      </c>
      <c r="Z298" s="42">
        <v>56</v>
      </c>
      <c r="AB298" s="42" t="str">
        <f t="shared" si="154"/>
        <v>MEM/IND</v>
      </c>
      <c r="AC298" s="42">
        <f t="shared" si="155"/>
        <v>2</v>
      </c>
      <c r="AD298" s="42">
        <f t="shared" si="156"/>
        <v>2</v>
      </c>
    </row>
    <row r="299" spans="1:30" ht="17.100000000000001" x14ac:dyDescent="0.45">
      <c r="A299" s="42">
        <v>191203</v>
      </c>
      <c r="B299" s="44">
        <v>0.5</v>
      </c>
      <c r="C299" s="42" t="s">
        <v>345</v>
      </c>
      <c r="D299" s="5" t="s">
        <v>346</v>
      </c>
      <c r="E299" s="42">
        <v>23</v>
      </c>
      <c r="F299" s="42">
        <v>21</v>
      </c>
      <c r="G299" s="42">
        <v>30</v>
      </c>
      <c r="H299" s="42">
        <v>32</v>
      </c>
      <c r="I299" s="42"/>
      <c r="J299" s="42">
        <v>22</v>
      </c>
      <c r="K299" s="42">
        <v>33</v>
      </c>
      <c r="L299" s="42">
        <v>29</v>
      </c>
      <c r="M299" s="42">
        <v>29</v>
      </c>
      <c r="N299" s="42"/>
      <c r="O299" s="42">
        <f t="shared" si="141"/>
        <v>106</v>
      </c>
      <c r="P299" s="42">
        <f t="shared" si="142"/>
        <v>113</v>
      </c>
      <c r="Q299" s="42" t="str">
        <f t="shared" si="143"/>
        <v>HW</v>
      </c>
      <c r="R299" s="42" t="str">
        <f t="shared" si="144"/>
        <v>HL</v>
      </c>
      <c r="S299" s="42" t="str">
        <f t="shared" si="145"/>
        <v>HW</v>
      </c>
      <c r="T299" s="42" t="str">
        <f t="shared" si="146"/>
        <v>HW</v>
      </c>
      <c r="U299" s="42" t="str">
        <f t="shared" si="147"/>
        <v>U</v>
      </c>
      <c r="V299" s="42" t="str">
        <f t="shared" si="148"/>
        <v>U</v>
      </c>
      <c r="W299" s="42" t="str">
        <f t="shared" si="149"/>
        <v>O</v>
      </c>
      <c r="X299" s="42" t="str">
        <f t="shared" si="150"/>
        <v>O</v>
      </c>
      <c r="Z299" s="42">
        <v>54.5</v>
      </c>
      <c r="AB299" s="42" t="str">
        <f t="shared" si="154"/>
        <v>SAC/CHI</v>
      </c>
      <c r="AC299" s="42">
        <f t="shared" si="155"/>
        <v>2</v>
      </c>
      <c r="AD299" s="42">
        <f t="shared" si="156"/>
        <v>2</v>
      </c>
    </row>
    <row r="300" spans="1:30" ht="17.100000000000001" x14ac:dyDescent="0.45">
      <c r="A300" s="42">
        <v>191204</v>
      </c>
      <c r="B300" s="44">
        <v>0.375</v>
      </c>
      <c r="C300" s="42" t="s">
        <v>347</v>
      </c>
      <c r="D300" s="5" t="s">
        <v>331</v>
      </c>
      <c r="E300" s="42">
        <v>28</v>
      </c>
      <c r="F300" s="42">
        <v>18</v>
      </c>
      <c r="G300" s="42">
        <v>22</v>
      </c>
      <c r="H300" s="42">
        <v>26</v>
      </c>
      <c r="I300" s="42"/>
      <c r="J300" s="42">
        <v>32</v>
      </c>
      <c r="K300" s="42">
        <v>30</v>
      </c>
      <c r="L300" s="42">
        <v>35</v>
      </c>
      <c r="M300" s="42">
        <v>30</v>
      </c>
      <c r="N300" s="42"/>
      <c r="O300" s="42">
        <f t="shared" ref="O300:O306" si="157">SUM(E300:I300)</f>
        <v>94</v>
      </c>
      <c r="P300" s="42">
        <f t="shared" ref="P300:P306" si="158">SUM(J300:N300)</f>
        <v>127</v>
      </c>
      <c r="Q300" s="42" t="str">
        <f t="shared" ref="Q300:Q306" si="159">IF(E300=J300,"TT",IF(E300&gt;J300,"HW","HL"))</f>
        <v>HL</v>
      </c>
      <c r="R300" s="42" t="str">
        <f t="shared" ref="R300:R306" si="160">IF(F300=K300,"TT",IF(F300&gt;K300,"HW","HL"))</f>
        <v>HL</v>
      </c>
      <c r="S300" s="42" t="str">
        <f t="shared" ref="S300:S306" si="161">IF(G300=L300,"TT",IF(G300&gt;L300,"HW","HL"))</f>
        <v>HL</v>
      </c>
      <c r="T300" s="42" t="str">
        <f t="shared" ref="T300:T306" si="162">IF(H300=M300,"TT",IF(H300&gt;M300,"HW","HL"))</f>
        <v>HL</v>
      </c>
      <c r="U300" s="42" t="str">
        <f t="shared" ref="U300:U306" si="163">IF(SUM(E300,J300)=$Z300,"T",IF(SUM(E300,J300)&gt;$Z300,"O","U"))</f>
        <v>O</v>
      </c>
      <c r="V300" s="42" t="str">
        <f t="shared" ref="V300:V306" si="164">IF(SUM(F300,K300)=$Z300,"T",IF(SUM(F300,K300)&gt;$Z300,"O","U"))</f>
        <v>U</v>
      </c>
      <c r="W300" s="42" t="str">
        <f t="shared" ref="W300:W306" si="165">IF(SUM(G300,L300)=$Z300,"T",IF(SUM(G300,L300)&gt;$Z300,"O","U"))</f>
        <v>O</v>
      </c>
      <c r="X300" s="42" t="str">
        <f t="shared" ref="X300:X306" si="166">IF(SUM(H300,M300)=$Z300,"T",IF(SUM(H300,M300)&gt;$Z300,"O","U"))</f>
        <v>T</v>
      </c>
      <c r="Y300" s="42"/>
      <c r="Z300" s="42">
        <v>56</v>
      </c>
      <c r="AB300" s="42" t="str">
        <f t="shared" ref="AB300:AB306" si="167">C300&amp;"/"&amp;D300</f>
        <v>CLE/DET</v>
      </c>
      <c r="AC300" s="42">
        <f t="shared" ref="AC300:AC306" si="168">COUNTIF(U300:X300,"o")</f>
        <v>2</v>
      </c>
      <c r="AD300" s="42">
        <f t="shared" ref="AD300:AD306" si="169">COUNTIF(U300:X300,"u")</f>
        <v>1</v>
      </c>
    </row>
    <row r="301" spans="1:30" ht="17.100000000000001" x14ac:dyDescent="0.45">
      <c r="A301" s="42">
        <v>191204</v>
      </c>
      <c r="B301" s="44">
        <v>0.375</v>
      </c>
      <c r="C301" s="42" t="s">
        <v>338</v>
      </c>
      <c r="D301" s="5" t="s">
        <v>333</v>
      </c>
      <c r="E301" s="42">
        <v>26</v>
      </c>
      <c r="F301" s="42">
        <v>28</v>
      </c>
      <c r="G301" s="42">
        <v>34</v>
      </c>
      <c r="H301" s="42">
        <v>32</v>
      </c>
      <c r="I301" s="42"/>
      <c r="J301" s="42">
        <v>32</v>
      </c>
      <c r="K301" s="42">
        <v>36</v>
      </c>
      <c r="L301" s="42">
        <v>29</v>
      </c>
      <c r="M301" s="42">
        <v>30</v>
      </c>
      <c r="N301" s="42"/>
      <c r="O301" s="42">
        <f t="shared" si="157"/>
        <v>120</v>
      </c>
      <c r="P301" s="42">
        <f t="shared" si="158"/>
        <v>127</v>
      </c>
      <c r="Q301" s="42" t="str">
        <f t="shared" si="159"/>
        <v>HL</v>
      </c>
      <c r="R301" s="42" t="str">
        <f t="shared" si="160"/>
        <v>HL</v>
      </c>
      <c r="S301" s="42" t="str">
        <f t="shared" si="161"/>
        <v>HW</v>
      </c>
      <c r="T301" s="42" t="str">
        <f t="shared" si="162"/>
        <v>HW</v>
      </c>
      <c r="U301" s="42" t="str">
        <f t="shared" si="163"/>
        <v>U</v>
      </c>
      <c r="V301" s="42" t="str">
        <f t="shared" si="164"/>
        <v>O</v>
      </c>
      <c r="W301" s="42" t="str">
        <f t="shared" si="165"/>
        <v>O</v>
      </c>
      <c r="X301" s="42" t="str">
        <f t="shared" si="166"/>
        <v>O</v>
      </c>
      <c r="Y301" s="42"/>
      <c r="Z301" s="42">
        <v>58.5</v>
      </c>
      <c r="AB301" s="42" t="str">
        <f t="shared" si="167"/>
        <v>WAS/ORL</v>
      </c>
      <c r="AC301" s="42">
        <f t="shared" si="168"/>
        <v>3</v>
      </c>
      <c r="AD301" s="42">
        <f t="shared" si="169"/>
        <v>1</v>
      </c>
    </row>
    <row r="302" spans="1:30" ht="17.100000000000001" x14ac:dyDescent="0.45">
      <c r="A302" s="42">
        <v>191204</v>
      </c>
      <c r="B302" s="44">
        <v>0.39583333333333331</v>
      </c>
      <c r="C302" s="42" t="s">
        <v>329</v>
      </c>
      <c r="D302" s="5" t="s">
        <v>328</v>
      </c>
      <c r="E302" s="42">
        <v>24</v>
      </c>
      <c r="F302" s="42">
        <v>29</v>
      </c>
      <c r="G302" s="42">
        <v>22</v>
      </c>
      <c r="H302" s="42">
        <v>22</v>
      </c>
      <c r="I302" s="42"/>
      <c r="J302" s="42">
        <v>24</v>
      </c>
      <c r="K302" s="42">
        <v>35</v>
      </c>
      <c r="L302" s="42">
        <v>25</v>
      </c>
      <c r="M302" s="42">
        <v>34</v>
      </c>
      <c r="N302" s="42"/>
      <c r="O302" s="42">
        <f t="shared" si="157"/>
        <v>97</v>
      </c>
      <c r="P302" s="42">
        <f t="shared" si="158"/>
        <v>118</v>
      </c>
      <c r="Q302" s="42" t="str">
        <f t="shared" si="159"/>
        <v>TT</v>
      </c>
      <c r="R302" s="42" t="str">
        <f t="shared" si="160"/>
        <v>HL</v>
      </c>
      <c r="S302" s="42" t="str">
        <f t="shared" si="161"/>
        <v>HL</v>
      </c>
      <c r="T302" s="42" t="str">
        <f t="shared" si="162"/>
        <v>HL</v>
      </c>
      <c r="U302" s="42" t="str">
        <f t="shared" si="163"/>
        <v>U</v>
      </c>
      <c r="V302" s="42" t="str">
        <f t="shared" si="164"/>
        <v>O</v>
      </c>
      <c r="W302" s="42" t="str">
        <f t="shared" si="165"/>
        <v>U</v>
      </c>
      <c r="X302" s="42" t="str">
        <f t="shared" si="166"/>
        <v>U</v>
      </c>
      <c r="Y302" s="42"/>
      <c r="Z302" s="42">
        <v>60.5</v>
      </c>
      <c r="AB302" s="42" t="str">
        <f t="shared" si="167"/>
        <v>NO/DAL</v>
      </c>
      <c r="AC302" s="42">
        <f t="shared" si="168"/>
        <v>1</v>
      </c>
      <c r="AD302" s="42">
        <f t="shared" si="169"/>
        <v>3</v>
      </c>
    </row>
    <row r="303" spans="1:30" ht="17.100000000000001" x14ac:dyDescent="0.45">
      <c r="A303" s="42">
        <v>191204</v>
      </c>
      <c r="B303" s="44">
        <v>0.39583333333333331</v>
      </c>
      <c r="C303" s="42" t="s">
        <v>335</v>
      </c>
      <c r="D303" s="5" t="s">
        <v>322</v>
      </c>
      <c r="E303" s="42">
        <v>23</v>
      </c>
      <c r="F303" s="42">
        <v>30</v>
      </c>
      <c r="G303" s="42">
        <v>28</v>
      </c>
      <c r="H303" s="42">
        <v>27</v>
      </c>
      <c r="I303" s="42"/>
      <c r="J303" s="42">
        <v>32</v>
      </c>
      <c r="K303" s="42">
        <v>26</v>
      </c>
      <c r="L303" s="42">
        <v>25</v>
      </c>
      <c r="M303" s="42">
        <v>25</v>
      </c>
      <c r="N303" s="42"/>
      <c r="O303" s="42">
        <f t="shared" si="157"/>
        <v>108</v>
      </c>
      <c r="P303" s="42">
        <f t="shared" si="158"/>
        <v>108</v>
      </c>
      <c r="Q303" s="42" t="str">
        <f t="shared" si="159"/>
        <v>HL</v>
      </c>
      <c r="R303" s="42" t="str">
        <f t="shared" si="160"/>
        <v>HW</v>
      </c>
      <c r="S303" s="42" t="str">
        <f t="shared" si="161"/>
        <v>HW</v>
      </c>
      <c r="T303" s="42" t="str">
        <f t="shared" si="162"/>
        <v>HW</v>
      </c>
      <c r="U303" s="42" t="str">
        <f t="shared" si="163"/>
        <v>T</v>
      </c>
      <c r="V303" s="42" t="str">
        <f t="shared" si="164"/>
        <v>O</v>
      </c>
      <c r="W303" s="42" t="str">
        <f t="shared" si="165"/>
        <v>U</v>
      </c>
      <c r="X303" s="42" t="str">
        <f t="shared" si="166"/>
        <v>U</v>
      </c>
      <c r="Y303" s="42"/>
      <c r="Z303" s="42">
        <v>55</v>
      </c>
      <c r="AB303" s="42" t="str">
        <f t="shared" si="167"/>
        <v>TOR/MIA</v>
      </c>
      <c r="AC303" s="42">
        <f t="shared" si="168"/>
        <v>1</v>
      </c>
      <c r="AD303" s="42">
        <f t="shared" si="169"/>
        <v>2</v>
      </c>
    </row>
    <row r="304" spans="1:30" ht="17.100000000000001" x14ac:dyDescent="0.45">
      <c r="A304" s="42">
        <v>191204</v>
      </c>
      <c r="B304" s="44">
        <v>0.4375</v>
      </c>
      <c r="C304" s="42" t="s">
        <v>332</v>
      </c>
      <c r="D304" s="5" t="s">
        <v>348</v>
      </c>
      <c r="E304" s="42">
        <v>27</v>
      </c>
      <c r="F304" s="42">
        <v>32</v>
      </c>
      <c r="G304" s="42">
        <v>22</v>
      </c>
      <c r="H304" s="42">
        <v>34</v>
      </c>
      <c r="I304" s="42">
        <v>20</v>
      </c>
      <c r="J304" s="42">
        <v>25</v>
      </c>
      <c r="K304" s="42">
        <v>38</v>
      </c>
      <c r="L304" s="42">
        <v>34</v>
      </c>
      <c r="M304" s="42">
        <v>18</v>
      </c>
      <c r="N304" s="42">
        <v>18</v>
      </c>
      <c r="O304" s="42">
        <f t="shared" si="157"/>
        <v>135</v>
      </c>
      <c r="P304" s="42">
        <f t="shared" si="158"/>
        <v>133</v>
      </c>
      <c r="Q304" s="42" t="str">
        <f t="shared" si="159"/>
        <v>HW</v>
      </c>
      <c r="R304" s="42" t="str">
        <f t="shared" si="160"/>
        <v>HL</v>
      </c>
      <c r="S304" s="42" t="str">
        <f t="shared" si="161"/>
        <v>HL</v>
      </c>
      <c r="T304" s="42" t="str">
        <f t="shared" si="162"/>
        <v>HW</v>
      </c>
      <c r="U304" s="42" t="str">
        <f t="shared" si="163"/>
        <v>U</v>
      </c>
      <c r="V304" s="42" t="str">
        <f t="shared" si="164"/>
        <v>O</v>
      </c>
      <c r="W304" s="42" t="str">
        <f t="shared" si="165"/>
        <v>U</v>
      </c>
      <c r="X304" s="42" t="str">
        <f t="shared" si="166"/>
        <v>U</v>
      </c>
      <c r="Y304" s="42"/>
      <c r="Z304" s="42">
        <v>60</v>
      </c>
      <c r="AB304" s="42" t="str">
        <f t="shared" si="167"/>
        <v>SAS/HOU</v>
      </c>
      <c r="AC304" s="42">
        <f t="shared" si="168"/>
        <v>1</v>
      </c>
      <c r="AD304" s="42">
        <f t="shared" si="169"/>
        <v>3</v>
      </c>
    </row>
    <row r="305" spans="1:30" ht="17.100000000000001" x14ac:dyDescent="0.45">
      <c r="A305" s="42">
        <v>191204</v>
      </c>
      <c r="B305" s="44">
        <v>0.45833333333333331</v>
      </c>
      <c r="C305" s="42" t="s">
        <v>349</v>
      </c>
      <c r="D305" s="5" t="s">
        <v>327</v>
      </c>
      <c r="E305" s="42">
        <v>24</v>
      </c>
      <c r="F305" s="42">
        <v>25</v>
      </c>
      <c r="G305" s="42">
        <v>27</v>
      </c>
      <c r="H305" s="42">
        <v>20</v>
      </c>
      <c r="I305" s="42"/>
      <c r="J305" s="42">
        <v>28</v>
      </c>
      <c r="K305" s="42">
        <v>32</v>
      </c>
      <c r="L305" s="42">
        <v>24</v>
      </c>
      <c r="M305" s="42">
        <v>21</v>
      </c>
      <c r="N305" s="42"/>
      <c r="O305" s="42">
        <f t="shared" si="157"/>
        <v>96</v>
      </c>
      <c r="P305" s="42">
        <f t="shared" si="158"/>
        <v>105</v>
      </c>
      <c r="Q305" s="42" t="str">
        <f t="shared" si="159"/>
        <v>HL</v>
      </c>
      <c r="R305" s="42" t="str">
        <f t="shared" si="160"/>
        <v>HL</v>
      </c>
      <c r="S305" s="42" t="str">
        <f t="shared" si="161"/>
        <v>HW</v>
      </c>
      <c r="T305" s="42" t="str">
        <f t="shared" si="162"/>
        <v>HL</v>
      </c>
      <c r="U305" s="42" t="str">
        <f t="shared" si="163"/>
        <v>U</v>
      </c>
      <c r="V305" s="42" t="str">
        <f t="shared" si="164"/>
        <v>O</v>
      </c>
      <c r="W305" s="42" t="str">
        <f t="shared" si="165"/>
        <v>U</v>
      </c>
      <c r="X305" s="42" t="str">
        <f t="shared" si="166"/>
        <v>U</v>
      </c>
      <c r="Y305" s="42"/>
      <c r="Z305" s="42">
        <v>54</v>
      </c>
      <c r="AB305" s="42" t="str">
        <f t="shared" si="167"/>
        <v>DEN/LAL</v>
      </c>
      <c r="AC305" s="42">
        <f t="shared" si="168"/>
        <v>1</v>
      </c>
      <c r="AD305" s="42">
        <f t="shared" si="169"/>
        <v>3</v>
      </c>
    </row>
    <row r="306" spans="1:30" ht="17.100000000000001" x14ac:dyDescent="0.45">
      <c r="A306" s="42">
        <v>191204</v>
      </c>
      <c r="B306" s="44">
        <v>0.5</v>
      </c>
      <c r="C306" s="42" t="s">
        <v>337</v>
      </c>
      <c r="D306" s="5" t="s">
        <v>350</v>
      </c>
      <c r="E306" s="42">
        <v>29</v>
      </c>
      <c r="F306" s="42">
        <v>33</v>
      </c>
      <c r="G306" s="42">
        <v>27</v>
      </c>
      <c r="H306" s="42">
        <v>28</v>
      </c>
      <c r="I306" s="42"/>
      <c r="J306" s="42">
        <v>30</v>
      </c>
      <c r="K306" s="42">
        <v>29</v>
      </c>
      <c r="L306" s="42">
        <v>17</v>
      </c>
      <c r="M306" s="42">
        <v>21</v>
      </c>
      <c r="N306" s="42"/>
      <c r="O306" s="42">
        <f t="shared" si="157"/>
        <v>117</v>
      </c>
      <c r="P306" s="42">
        <f t="shared" si="158"/>
        <v>97</v>
      </c>
      <c r="Q306" s="42" t="str">
        <f t="shared" si="159"/>
        <v>HL</v>
      </c>
      <c r="R306" s="42" t="str">
        <f t="shared" si="160"/>
        <v>HW</v>
      </c>
      <c r="S306" s="42" t="str">
        <f t="shared" si="161"/>
        <v>HW</v>
      </c>
      <c r="T306" s="42" t="str">
        <f t="shared" si="162"/>
        <v>HW</v>
      </c>
      <c r="U306" s="42" t="str">
        <f t="shared" si="163"/>
        <v>O</v>
      </c>
      <c r="V306" s="42" t="str">
        <f t="shared" si="164"/>
        <v>O</v>
      </c>
      <c r="W306" s="42" t="str">
        <f t="shared" si="165"/>
        <v>U</v>
      </c>
      <c r="X306" s="42" t="str">
        <f t="shared" si="166"/>
        <v>U</v>
      </c>
      <c r="Y306" s="42"/>
      <c r="Z306" s="42">
        <v>58.5</v>
      </c>
      <c r="AB306" s="42" t="str">
        <f t="shared" si="167"/>
        <v>LAC/POR</v>
      </c>
      <c r="AC306" s="42">
        <f t="shared" si="168"/>
        <v>2</v>
      </c>
      <c r="AD306" s="42">
        <f t="shared" si="169"/>
        <v>2</v>
      </c>
    </row>
    <row r="307" spans="1:30" ht="17.100000000000001" x14ac:dyDescent="0.45">
      <c r="A307" s="42">
        <v>191205</v>
      </c>
      <c r="B307" s="44">
        <v>0.375</v>
      </c>
      <c r="C307" s="42" t="s">
        <v>351</v>
      </c>
      <c r="D307" s="5" t="s">
        <v>352</v>
      </c>
      <c r="E307" s="42">
        <v>24</v>
      </c>
      <c r="F307" s="42">
        <v>24</v>
      </c>
      <c r="G307" s="42">
        <v>24</v>
      </c>
      <c r="H307" s="42">
        <v>31</v>
      </c>
      <c r="I307" s="42"/>
      <c r="J307" s="42">
        <v>22</v>
      </c>
      <c r="K307" s="42">
        <v>37</v>
      </c>
      <c r="L307" s="42">
        <v>33</v>
      </c>
      <c r="M307" s="42">
        <v>35</v>
      </c>
      <c r="N307" s="42"/>
      <c r="O307" s="42">
        <f t="shared" ref="O307:O320" si="170">SUM(E307:I307)</f>
        <v>103</v>
      </c>
      <c r="P307" s="42">
        <f t="shared" ref="P307:P320" si="171">SUM(J307:N307)</f>
        <v>127</v>
      </c>
      <c r="Q307" s="42" t="str">
        <f t="shared" ref="Q307:Q320" si="172">IF(E307=J307,"TT",IF(E307&gt;J307,"HW","HL"))</f>
        <v>HW</v>
      </c>
      <c r="R307" s="42" t="str">
        <f t="shared" ref="R307:R320" si="173">IF(F307=K307,"TT",IF(F307&gt;K307,"HW","HL"))</f>
        <v>HL</v>
      </c>
      <c r="S307" s="42" t="str">
        <f t="shared" ref="S307:S320" si="174">IF(G307=L307,"TT",IF(G307&gt;L307,"HW","HL"))</f>
        <v>HL</v>
      </c>
      <c r="T307" s="42" t="str">
        <f t="shared" ref="T307:T320" si="175">IF(H307=M307,"TT",IF(H307&gt;M307,"HW","HL"))</f>
        <v>HL</v>
      </c>
      <c r="U307" s="42" t="str">
        <f t="shared" ref="U307:U320" si="176">IF(SUM(E307,J307)=$Z307,"T",IF(SUM(E307,J307)&gt;$Z307,"O","U"))</f>
        <v>U</v>
      </c>
      <c r="V307" s="42" t="str">
        <f t="shared" ref="V307:V320" si="177">IF(SUM(F307,K307)=$Z307,"T",IF(SUM(F307,K307)&gt;$Z307,"O","U"))</f>
        <v>O</v>
      </c>
      <c r="W307" s="42" t="str">
        <f t="shared" ref="W307:W320" si="178">IF(SUM(G307,L307)=$Z307,"T",IF(SUM(G307,L307)&gt;$Z307,"O","U"))</f>
        <v>O</v>
      </c>
      <c r="X307" s="42" t="str">
        <f t="shared" ref="X307:X320" si="179">IF(SUM(H307,M307)=$Z307,"T",IF(SUM(H307,M307)&gt;$Z307,"O","U"))</f>
        <v>O</v>
      </c>
      <c r="Z307" s="42">
        <v>54.5</v>
      </c>
      <c r="AB307" s="42" t="str">
        <f t="shared" ref="AB307:AB320" si="180">C307&amp;"/"&amp;D307</f>
        <v>DET/MIL</v>
      </c>
      <c r="AC307" s="42">
        <f t="shared" ref="AC307:AC320" si="181">COUNTIF(U307:X307,"o")</f>
        <v>3</v>
      </c>
      <c r="AD307" s="42">
        <f t="shared" ref="AD307:AD320" si="182">COUNTIF(U307:X307,"u")</f>
        <v>1</v>
      </c>
    </row>
    <row r="308" spans="1:30" ht="17.100000000000001" x14ac:dyDescent="0.45">
      <c r="A308" s="42">
        <v>191205</v>
      </c>
      <c r="B308" s="44">
        <v>0.375</v>
      </c>
      <c r="C308" s="42" t="s">
        <v>353</v>
      </c>
      <c r="D308" s="5" t="s">
        <v>354</v>
      </c>
      <c r="E308" s="42">
        <v>31</v>
      </c>
      <c r="F308" s="42">
        <v>34</v>
      </c>
      <c r="G308" s="42">
        <v>38</v>
      </c>
      <c r="H308" s="42">
        <v>25</v>
      </c>
      <c r="I308" s="42"/>
      <c r="J308" s="42">
        <v>37</v>
      </c>
      <c r="K308" s="42">
        <v>21</v>
      </c>
      <c r="L308" s="42">
        <v>28</v>
      </c>
      <c r="M308" s="42">
        <v>28</v>
      </c>
      <c r="N308" s="42"/>
      <c r="O308" s="42">
        <f t="shared" si="170"/>
        <v>128</v>
      </c>
      <c r="P308" s="42">
        <f t="shared" si="171"/>
        <v>114</v>
      </c>
      <c r="Q308" s="42" t="str">
        <f t="shared" si="172"/>
        <v>HL</v>
      </c>
      <c r="R308" s="42" t="str">
        <f t="shared" si="173"/>
        <v>HW</v>
      </c>
      <c r="S308" s="42" t="str">
        <f t="shared" si="174"/>
        <v>HW</v>
      </c>
      <c r="T308" s="42" t="str">
        <f t="shared" si="175"/>
        <v>HL</v>
      </c>
      <c r="U308" s="42" t="str">
        <f t="shared" si="176"/>
        <v>O</v>
      </c>
      <c r="V308" s="42" t="str">
        <f t="shared" si="177"/>
        <v>O</v>
      </c>
      <c r="W308" s="42" t="str">
        <f t="shared" si="178"/>
        <v>O</v>
      </c>
      <c r="X308" s="42" t="str">
        <f t="shared" si="179"/>
        <v>O</v>
      </c>
      <c r="Z308" s="42">
        <v>52</v>
      </c>
      <c r="AB308" s="42" t="str">
        <f t="shared" si="180"/>
        <v>ORL/PHO</v>
      </c>
      <c r="AC308" s="42">
        <f t="shared" si="181"/>
        <v>4</v>
      </c>
      <c r="AD308" s="42">
        <f t="shared" si="182"/>
        <v>0</v>
      </c>
    </row>
    <row r="309" spans="1:30" ht="17.100000000000001" x14ac:dyDescent="0.45">
      <c r="A309" s="42">
        <v>191205</v>
      </c>
      <c r="B309" s="44">
        <v>0.375</v>
      </c>
      <c r="C309" s="42" t="s">
        <v>355</v>
      </c>
      <c r="D309" s="5" t="s">
        <v>356</v>
      </c>
      <c r="E309" s="42">
        <v>28</v>
      </c>
      <c r="F309" s="42">
        <v>30</v>
      </c>
      <c r="G309" s="42">
        <v>28</v>
      </c>
      <c r="H309" s="42">
        <v>20</v>
      </c>
      <c r="I309" s="42"/>
      <c r="J309" s="42">
        <v>20</v>
      </c>
      <c r="K309" s="42">
        <v>34</v>
      </c>
      <c r="L309" s="42">
        <v>22</v>
      </c>
      <c r="M309" s="42">
        <v>15</v>
      </c>
      <c r="N309" s="42"/>
      <c r="O309" s="42">
        <f t="shared" si="170"/>
        <v>106</v>
      </c>
      <c r="P309" s="42">
        <f t="shared" si="171"/>
        <v>91</v>
      </c>
      <c r="Q309" s="42" t="str">
        <f t="shared" si="172"/>
        <v>HW</v>
      </c>
      <c r="R309" s="42" t="str">
        <f t="shared" si="173"/>
        <v>HL</v>
      </c>
      <c r="S309" s="42" t="str">
        <f t="shared" si="174"/>
        <v>HW</v>
      </c>
      <c r="T309" s="42" t="str">
        <f t="shared" si="175"/>
        <v>HW</v>
      </c>
      <c r="U309" s="42" t="str">
        <f t="shared" si="176"/>
        <v>U</v>
      </c>
      <c r="V309" s="42" t="str">
        <f t="shared" si="177"/>
        <v>O</v>
      </c>
      <c r="W309" s="42" t="str">
        <f t="shared" si="178"/>
        <v>U</v>
      </c>
      <c r="X309" s="42" t="str">
        <f t="shared" si="179"/>
        <v>U</v>
      </c>
      <c r="Z309" s="42">
        <v>55</v>
      </c>
      <c r="AB309" s="42" t="str">
        <f t="shared" si="180"/>
        <v>CHA/GS</v>
      </c>
      <c r="AC309" s="42">
        <f t="shared" si="181"/>
        <v>1</v>
      </c>
      <c r="AD309" s="42">
        <f t="shared" si="182"/>
        <v>3</v>
      </c>
    </row>
    <row r="310" spans="1:30" ht="17.100000000000001" x14ac:dyDescent="0.45">
      <c r="A310" s="42">
        <v>191205</v>
      </c>
      <c r="B310" s="44">
        <v>0.39583333333333331</v>
      </c>
      <c r="C310" s="42" t="s">
        <v>357</v>
      </c>
      <c r="D310" s="5" t="s">
        <v>358</v>
      </c>
      <c r="E310" s="42">
        <v>26</v>
      </c>
      <c r="F310" s="42">
        <v>21</v>
      </c>
      <c r="G310" s="42">
        <v>35</v>
      </c>
      <c r="H310" s="42">
        <v>36</v>
      </c>
      <c r="I310" s="42"/>
      <c r="J310" s="42">
        <v>22</v>
      </c>
      <c r="K310" s="42">
        <v>34</v>
      </c>
      <c r="L310" s="42">
        <v>35</v>
      </c>
      <c r="M310" s="42">
        <v>39</v>
      </c>
      <c r="N310" s="42"/>
      <c r="O310" s="42">
        <f t="shared" si="170"/>
        <v>118</v>
      </c>
      <c r="P310" s="42">
        <f t="shared" si="171"/>
        <v>130</v>
      </c>
      <c r="Q310" s="42" t="str">
        <f t="shared" si="172"/>
        <v>HW</v>
      </c>
      <c r="R310" s="42" t="str">
        <f t="shared" si="173"/>
        <v>HL</v>
      </c>
      <c r="S310" s="42" t="str">
        <f t="shared" si="174"/>
        <v>TT</v>
      </c>
      <c r="T310" s="42" t="str">
        <f t="shared" si="175"/>
        <v>HL</v>
      </c>
      <c r="U310" s="42" t="str">
        <f t="shared" si="176"/>
        <v>U</v>
      </c>
      <c r="V310" s="42" t="str">
        <f t="shared" si="177"/>
        <v>U</v>
      </c>
      <c r="W310" s="42" t="str">
        <f t="shared" si="178"/>
        <v>O</v>
      </c>
      <c r="X310" s="42" t="str">
        <f t="shared" si="179"/>
        <v>O</v>
      </c>
      <c r="Z310" s="42">
        <v>55.5</v>
      </c>
      <c r="AB310" s="42" t="str">
        <f t="shared" si="180"/>
        <v>ATL/BKN</v>
      </c>
      <c r="AC310" s="42">
        <f t="shared" si="181"/>
        <v>2</v>
      </c>
      <c r="AD310" s="42">
        <f t="shared" si="182"/>
        <v>2</v>
      </c>
    </row>
    <row r="311" spans="1:30" ht="17.100000000000001" x14ac:dyDescent="0.45">
      <c r="A311" s="42">
        <v>191205</v>
      </c>
      <c r="B311" s="44">
        <v>0.39583333333333331</v>
      </c>
      <c r="C311" s="42" t="s">
        <v>359</v>
      </c>
      <c r="D311" s="5" t="s">
        <v>360</v>
      </c>
      <c r="E311" s="42">
        <v>20</v>
      </c>
      <c r="F311" s="42">
        <v>32</v>
      </c>
      <c r="G311" s="42">
        <v>30</v>
      </c>
      <c r="H311" s="42">
        <v>30</v>
      </c>
      <c r="I311" s="42"/>
      <c r="J311" s="42">
        <v>28</v>
      </c>
      <c r="K311" s="42">
        <v>16</v>
      </c>
      <c r="L311" s="42">
        <v>25</v>
      </c>
      <c r="M311" s="42">
        <v>24</v>
      </c>
      <c r="N311" s="42"/>
      <c r="O311" s="42">
        <f t="shared" si="170"/>
        <v>112</v>
      </c>
      <c r="P311" s="42">
        <f t="shared" si="171"/>
        <v>93</v>
      </c>
      <c r="Q311" s="42" t="str">
        <f t="shared" si="172"/>
        <v>HL</v>
      </c>
      <c r="R311" s="42" t="str">
        <f t="shared" si="173"/>
        <v>HW</v>
      </c>
      <c r="S311" s="42" t="str">
        <f t="shared" si="174"/>
        <v>HW</v>
      </c>
      <c r="T311" s="42" t="str">
        <f t="shared" si="175"/>
        <v>HW</v>
      </c>
      <c r="U311" s="42" t="str">
        <f t="shared" si="176"/>
        <v>U</v>
      </c>
      <c r="V311" s="42" t="str">
        <f t="shared" si="177"/>
        <v>U</v>
      </c>
      <c r="W311" s="42" t="str">
        <f t="shared" si="178"/>
        <v>O</v>
      </c>
      <c r="X311" s="42" t="str">
        <f t="shared" si="179"/>
        <v>T</v>
      </c>
      <c r="Z311" s="42">
        <v>54</v>
      </c>
      <c r="AB311" s="42" t="str">
        <f t="shared" si="180"/>
        <v>BOS/MIA</v>
      </c>
      <c r="AC311" s="42">
        <f t="shared" si="181"/>
        <v>1</v>
      </c>
      <c r="AD311" s="42">
        <f t="shared" si="182"/>
        <v>2</v>
      </c>
    </row>
    <row r="312" spans="1:30" ht="17.100000000000001" x14ac:dyDescent="0.45">
      <c r="A312" s="42">
        <v>191205</v>
      </c>
      <c r="B312" s="44">
        <v>0.41666666666666669</v>
      </c>
      <c r="C312" s="42" t="s">
        <v>361</v>
      </c>
      <c r="D312" s="5" t="s">
        <v>362</v>
      </c>
      <c r="E312" s="42">
        <v>27</v>
      </c>
      <c r="F312" s="42">
        <v>23</v>
      </c>
      <c r="G312" s="42">
        <v>28</v>
      </c>
      <c r="H312" s="42">
        <v>28</v>
      </c>
      <c r="I312" s="42"/>
      <c r="J312" s="42">
        <v>20</v>
      </c>
      <c r="K312" s="42">
        <v>15</v>
      </c>
      <c r="L312" s="42">
        <v>29</v>
      </c>
      <c r="M312" s="42">
        <v>35</v>
      </c>
      <c r="N312" s="42"/>
      <c r="O312" s="42">
        <f t="shared" si="170"/>
        <v>106</v>
      </c>
      <c r="P312" s="42">
        <f t="shared" si="171"/>
        <v>99</v>
      </c>
      <c r="Q312" s="42" t="str">
        <f t="shared" si="172"/>
        <v>HW</v>
      </c>
      <c r="R312" s="42" t="str">
        <f t="shared" si="173"/>
        <v>HW</v>
      </c>
      <c r="S312" s="42" t="str">
        <f t="shared" si="174"/>
        <v>HL</v>
      </c>
      <c r="T312" s="42" t="str">
        <f t="shared" si="175"/>
        <v>HL</v>
      </c>
      <c r="U312" s="42" t="str">
        <f t="shared" si="176"/>
        <v>U</v>
      </c>
      <c r="V312" s="42" t="str">
        <f t="shared" si="177"/>
        <v>U</v>
      </c>
      <c r="W312" s="42" t="str">
        <f t="shared" si="178"/>
        <v>O</v>
      </c>
      <c r="X312" s="42" t="str">
        <f t="shared" si="179"/>
        <v>O</v>
      </c>
      <c r="Z312" s="42">
        <v>54</v>
      </c>
      <c r="AB312" s="42" t="str">
        <f t="shared" si="180"/>
        <v>CHI/MEM</v>
      </c>
      <c r="AC312" s="42">
        <f t="shared" si="181"/>
        <v>2</v>
      </c>
      <c r="AD312" s="42">
        <f t="shared" si="182"/>
        <v>2</v>
      </c>
    </row>
    <row r="313" spans="1:30" ht="17.100000000000001" x14ac:dyDescent="0.45">
      <c r="A313" s="42">
        <v>191205</v>
      </c>
      <c r="B313" s="44">
        <v>0.41666666666666669</v>
      </c>
      <c r="C313" s="42" t="s">
        <v>363</v>
      </c>
      <c r="D313" s="5" t="s">
        <v>364</v>
      </c>
      <c r="E313" s="42">
        <v>29</v>
      </c>
      <c r="F313" s="42">
        <v>21</v>
      </c>
      <c r="G313" s="42">
        <v>28</v>
      </c>
      <c r="H313" s="42">
        <v>22</v>
      </c>
      <c r="I313" s="42"/>
      <c r="J313" s="42">
        <v>26</v>
      </c>
      <c r="K313" s="42">
        <v>23</v>
      </c>
      <c r="L313" s="42">
        <v>30</v>
      </c>
      <c r="M313" s="42">
        <v>28</v>
      </c>
      <c r="N313" s="42"/>
      <c r="O313" s="42">
        <f t="shared" si="170"/>
        <v>100</v>
      </c>
      <c r="P313" s="42">
        <f t="shared" si="171"/>
        <v>107</v>
      </c>
      <c r="Q313" s="42" t="str">
        <f t="shared" si="172"/>
        <v>HW</v>
      </c>
      <c r="R313" s="42" t="str">
        <f t="shared" si="173"/>
        <v>HL</v>
      </c>
      <c r="S313" s="42" t="str">
        <f t="shared" si="174"/>
        <v>HL</v>
      </c>
      <c r="T313" s="42" t="str">
        <f t="shared" si="175"/>
        <v>HL</v>
      </c>
      <c r="U313" s="42" t="str">
        <f t="shared" si="176"/>
        <v>O</v>
      </c>
      <c r="V313" s="42" t="str">
        <f t="shared" si="177"/>
        <v>U</v>
      </c>
      <c r="W313" s="42" t="str">
        <f t="shared" si="178"/>
        <v>O</v>
      </c>
      <c r="X313" s="42" t="str">
        <f t="shared" si="179"/>
        <v>U</v>
      </c>
      <c r="Z313" s="42">
        <v>54</v>
      </c>
      <c r="AB313" s="42" t="str">
        <f t="shared" si="180"/>
        <v>OKC/IND</v>
      </c>
      <c r="AC313" s="42">
        <f t="shared" si="181"/>
        <v>2</v>
      </c>
      <c r="AD313" s="42">
        <f t="shared" si="182"/>
        <v>2</v>
      </c>
    </row>
    <row r="314" spans="1:30" ht="17.100000000000001" x14ac:dyDescent="0.45">
      <c r="A314" s="42">
        <v>191205</v>
      </c>
      <c r="B314" s="44">
        <v>0.4375</v>
      </c>
      <c r="C314" s="42" t="s">
        <v>365</v>
      </c>
      <c r="D314" s="5" t="s">
        <v>366</v>
      </c>
      <c r="E314" s="42">
        <v>30</v>
      </c>
      <c r="F314" s="42">
        <v>23</v>
      </c>
      <c r="G314" s="42">
        <v>27</v>
      </c>
      <c r="H314" s="42">
        <v>41</v>
      </c>
      <c r="I314" s="42"/>
      <c r="J314" s="42">
        <v>25</v>
      </c>
      <c r="K314" s="42">
        <v>31</v>
      </c>
      <c r="L314" s="42">
        <v>28</v>
      </c>
      <c r="M314" s="42">
        <v>30</v>
      </c>
      <c r="N314" s="42"/>
      <c r="O314" s="42">
        <f t="shared" si="170"/>
        <v>121</v>
      </c>
      <c r="P314" s="42">
        <f t="shared" si="171"/>
        <v>114</v>
      </c>
      <c r="Q314" s="42" t="str">
        <f t="shared" si="172"/>
        <v>HW</v>
      </c>
      <c r="R314" s="42" t="str">
        <f t="shared" si="173"/>
        <v>HL</v>
      </c>
      <c r="S314" s="42" t="str">
        <f t="shared" si="174"/>
        <v>HL</v>
      </c>
      <c r="T314" s="42" t="str">
        <f t="shared" si="175"/>
        <v>HW</v>
      </c>
      <c r="U314" s="42" t="str">
        <f t="shared" si="176"/>
        <v>U</v>
      </c>
      <c r="V314" s="42" t="str">
        <f t="shared" si="177"/>
        <v>U</v>
      </c>
      <c r="W314" s="42" t="str">
        <f t="shared" si="178"/>
        <v>U</v>
      </c>
      <c r="X314" s="42" t="str">
        <f t="shared" si="179"/>
        <v>O</v>
      </c>
      <c r="Z314" s="42">
        <v>59</v>
      </c>
      <c r="AB314" s="42" t="str">
        <f t="shared" si="180"/>
        <v>DAL/MIN</v>
      </c>
      <c r="AC314" s="42">
        <f t="shared" si="181"/>
        <v>1</v>
      </c>
      <c r="AD314" s="42">
        <f t="shared" si="182"/>
        <v>3</v>
      </c>
    </row>
    <row r="315" spans="1:30" ht="17.100000000000001" x14ac:dyDescent="0.45">
      <c r="A315" s="42">
        <v>191205</v>
      </c>
      <c r="B315" s="44">
        <v>0.45833333333333331</v>
      </c>
      <c r="C315" s="42" t="s">
        <v>367</v>
      </c>
      <c r="D315" s="5" t="s">
        <v>368</v>
      </c>
      <c r="E315" s="42">
        <v>26</v>
      </c>
      <c r="F315" s="42">
        <v>21</v>
      </c>
      <c r="G315" s="42">
        <v>28</v>
      </c>
      <c r="H315" s="42">
        <v>21</v>
      </c>
      <c r="I315" s="42"/>
      <c r="J315" s="42">
        <v>34</v>
      </c>
      <c r="K315" s="42">
        <v>31</v>
      </c>
      <c r="L315" s="42">
        <v>29</v>
      </c>
      <c r="M315" s="42">
        <v>27</v>
      </c>
      <c r="N315" s="42"/>
      <c r="O315" s="42">
        <f t="shared" si="170"/>
        <v>96</v>
      </c>
      <c r="P315" s="42">
        <f t="shared" si="171"/>
        <v>121</v>
      </c>
      <c r="Q315" s="42" t="str">
        <f t="shared" si="172"/>
        <v>HL</v>
      </c>
      <c r="R315" s="42" t="str">
        <f t="shared" si="173"/>
        <v>HL</v>
      </c>
      <c r="S315" s="42" t="str">
        <f t="shared" si="174"/>
        <v>HL</v>
      </c>
      <c r="T315" s="42" t="str">
        <f t="shared" si="175"/>
        <v>HL</v>
      </c>
      <c r="U315" s="42" t="str">
        <f t="shared" si="176"/>
        <v>O</v>
      </c>
      <c r="V315" s="42" t="str">
        <f t="shared" si="177"/>
        <v>U</v>
      </c>
      <c r="W315" s="42" t="str">
        <f t="shared" si="178"/>
        <v>O</v>
      </c>
      <c r="X315" s="42" t="str">
        <f t="shared" si="179"/>
        <v>U</v>
      </c>
      <c r="Z315" s="42">
        <v>54.5</v>
      </c>
      <c r="AB315" s="42" t="str">
        <f t="shared" si="180"/>
        <v>UTA/LAL</v>
      </c>
      <c r="AC315" s="42">
        <f t="shared" si="181"/>
        <v>2</v>
      </c>
      <c r="AD315" s="42">
        <f t="shared" si="182"/>
        <v>2</v>
      </c>
    </row>
    <row r="316" spans="1:30" ht="17.100000000000001" x14ac:dyDescent="0.45">
      <c r="A316" s="42">
        <v>191205</v>
      </c>
      <c r="B316" s="44">
        <v>0.5</v>
      </c>
      <c r="C316" s="42" t="s">
        <v>369</v>
      </c>
      <c r="D316" s="5" t="s">
        <v>370</v>
      </c>
      <c r="E316" s="42">
        <v>30</v>
      </c>
      <c r="F316" s="42">
        <v>36</v>
      </c>
      <c r="G316" s="42">
        <v>34</v>
      </c>
      <c r="H316" s="42">
        <v>27</v>
      </c>
      <c r="I316" s="42"/>
      <c r="J316" s="42">
        <v>35</v>
      </c>
      <c r="K316" s="42">
        <v>29</v>
      </c>
      <c r="L316" s="42">
        <v>31</v>
      </c>
      <c r="M316" s="42">
        <v>21</v>
      </c>
      <c r="N316" s="42"/>
      <c r="O316" s="42">
        <f t="shared" si="170"/>
        <v>127</v>
      </c>
      <c r="P316" s="42">
        <f t="shared" si="171"/>
        <v>116</v>
      </c>
      <c r="Q316" s="42" t="str">
        <f t="shared" si="172"/>
        <v>HL</v>
      </c>
      <c r="R316" s="42" t="str">
        <f t="shared" si="173"/>
        <v>HW</v>
      </c>
      <c r="S316" s="42" t="str">
        <f t="shared" si="174"/>
        <v>HW</v>
      </c>
      <c r="T316" s="42" t="str">
        <f t="shared" si="175"/>
        <v>HW</v>
      </c>
      <c r="U316" s="42" t="str">
        <f t="shared" si="176"/>
        <v>O</v>
      </c>
      <c r="V316" s="42" t="str">
        <f t="shared" si="177"/>
        <v>O</v>
      </c>
      <c r="W316" s="42" t="str">
        <f t="shared" si="178"/>
        <v>O</v>
      </c>
      <c r="X316" s="42" t="str">
        <f t="shared" si="179"/>
        <v>U</v>
      </c>
      <c r="Z316" s="42">
        <v>55.5</v>
      </c>
      <c r="AB316" s="42" t="str">
        <f t="shared" si="180"/>
        <v>POR/SAC</v>
      </c>
      <c r="AC316" s="42">
        <f t="shared" si="181"/>
        <v>3</v>
      </c>
      <c r="AD316" s="42">
        <f t="shared" si="182"/>
        <v>1</v>
      </c>
    </row>
    <row r="317" spans="1:30" ht="17.100000000000001" x14ac:dyDescent="0.45">
      <c r="A317" s="42">
        <v>191206</v>
      </c>
      <c r="B317" s="1">
        <v>0.375</v>
      </c>
      <c r="C317" s="42" t="s">
        <v>34</v>
      </c>
      <c r="D317" s="5" t="s">
        <v>41</v>
      </c>
      <c r="E317" s="42">
        <v>25</v>
      </c>
      <c r="F317" s="42">
        <v>40</v>
      </c>
      <c r="G317" s="42">
        <v>26</v>
      </c>
      <c r="H317" s="42">
        <v>28</v>
      </c>
      <c r="I317" s="42"/>
      <c r="J317" s="42">
        <v>33</v>
      </c>
      <c r="K317" s="42">
        <v>22</v>
      </c>
      <c r="L317" s="42">
        <v>26</v>
      </c>
      <c r="M317" s="42">
        <v>32</v>
      </c>
      <c r="N317" s="42"/>
      <c r="O317" s="42">
        <f t="shared" si="170"/>
        <v>119</v>
      </c>
      <c r="P317" s="42">
        <f t="shared" si="171"/>
        <v>113</v>
      </c>
      <c r="Q317" s="42" t="str">
        <f t="shared" si="172"/>
        <v>HL</v>
      </c>
      <c r="R317" s="42" t="str">
        <f t="shared" si="173"/>
        <v>HW</v>
      </c>
      <c r="S317" s="42" t="str">
        <f t="shared" si="174"/>
        <v>TT</v>
      </c>
      <c r="T317" s="42" t="str">
        <f t="shared" si="175"/>
        <v>HL</v>
      </c>
      <c r="U317" s="42" t="str">
        <f t="shared" si="176"/>
        <v>O</v>
      </c>
      <c r="V317" s="42" t="str">
        <f t="shared" si="177"/>
        <v>O</v>
      </c>
      <c r="W317" s="42" t="str">
        <f t="shared" si="178"/>
        <v>U</v>
      </c>
      <c r="X317" s="42" t="str">
        <f t="shared" si="179"/>
        <v>O</v>
      </c>
      <c r="Z317" s="42">
        <v>57.5</v>
      </c>
      <c r="AB317" s="42" t="str">
        <f t="shared" si="180"/>
        <v>WAS/PHI</v>
      </c>
      <c r="AC317" s="42">
        <f t="shared" si="181"/>
        <v>3</v>
      </c>
      <c r="AD317" s="42">
        <f t="shared" si="182"/>
        <v>1</v>
      </c>
    </row>
    <row r="318" spans="1:30" ht="17.100000000000001" x14ac:dyDescent="0.45">
      <c r="A318" s="42">
        <v>191206</v>
      </c>
      <c r="B318" s="1">
        <v>0.39583333333333331</v>
      </c>
      <c r="C318" s="42" t="s">
        <v>47</v>
      </c>
      <c r="D318" s="5" t="s">
        <v>46</v>
      </c>
      <c r="E318" s="42">
        <v>27</v>
      </c>
      <c r="F318" s="42">
        <v>18</v>
      </c>
      <c r="G318" s="42">
        <v>30</v>
      </c>
      <c r="H318" s="42">
        <v>17</v>
      </c>
      <c r="I318" s="42"/>
      <c r="J318" s="42">
        <v>33</v>
      </c>
      <c r="K318" s="42">
        <v>34</v>
      </c>
      <c r="L318" s="42">
        <v>31</v>
      </c>
      <c r="M318" s="42">
        <v>31</v>
      </c>
      <c r="N318" s="42"/>
      <c r="O318" s="42">
        <f t="shared" si="170"/>
        <v>92</v>
      </c>
      <c r="P318" s="42">
        <f t="shared" si="171"/>
        <v>129</v>
      </c>
      <c r="Q318" s="42" t="str">
        <f t="shared" si="172"/>
        <v>HL</v>
      </c>
      <c r="R318" s="42" t="str">
        <f t="shared" si="173"/>
        <v>HL</v>
      </c>
      <c r="S318" s="42" t="str">
        <f t="shared" si="174"/>
        <v>HL</v>
      </c>
      <c r="T318" s="42" t="str">
        <f t="shared" si="175"/>
        <v>HL</v>
      </c>
      <c r="U318" s="42" t="str">
        <f t="shared" si="176"/>
        <v>O</v>
      </c>
      <c r="V318" s="42" t="str">
        <f t="shared" si="177"/>
        <v>U</v>
      </c>
      <c r="W318" s="42" t="str">
        <f t="shared" si="178"/>
        <v>O</v>
      </c>
      <c r="X318" s="42" t="str">
        <f t="shared" si="179"/>
        <v>U</v>
      </c>
      <c r="Z318" s="42">
        <v>52.5</v>
      </c>
      <c r="AB318" s="42" t="str">
        <f t="shared" si="180"/>
        <v>NYK/DEN</v>
      </c>
      <c r="AC318" s="42">
        <f t="shared" si="181"/>
        <v>2</v>
      </c>
      <c r="AD318" s="42">
        <f t="shared" si="182"/>
        <v>2</v>
      </c>
    </row>
    <row r="319" spans="1:30" ht="17.100000000000001" x14ac:dyDescent="0.45">
      <c r="A319" s="42">
        <v>191206</v>
      </c>
      <c r="B319" s="1">
        <v>0.39583333333333331</v>
      </c>
      <c r="C319" s="42" t="s">
        <v>28</v>
      </c>
      <c r="D319" s="5" t="s">
        <v>52</v>
      </c>
      <c r="E319" s="42">
        <v>28</v>
      </c>
      <c r="F319" s="42">
        <v>27</v>
      </c>
      <c r="G319" s="42">
        <v>33</v>
      </c>
      <c r="H319" s="42">
        <v>21</v>
      </c>
      <c r="I319" s="42"/>
      <c r="J319" s="42">
        <v>34</v>
      </c>
      <c r="K319" s="42">
        <v>29</v>
      </c>
      <c r="L319" s="42">
        <v>31</v>
      </c>
      <c r="M319" s="42">
        <v>25</v>
      </c>
      <c r="N319" s="42"/>
      <c r="O319" s="42">
        <f t="shared" si="170"/>
        <v>109</v>
      </c>
      <c r="P319" s="42">
        <f t="shared" si="171"/>
        <v>119</v>
      </c>
      <c r="Q319" s="42" t="str">
        <f t="shared" si="172"/>
        <v>HL</v>
      </c>
      <c r="R319" s="42" t="str">
        <f t="shared" si="173"/>
        <v>HL</v>
      </c>
      <c r="S319" s="42" t="str">
        <f t="shared" si="174"/>
        <v>HW</v>
      </c>
      <c r="T319" s="42" t="str">
        <f t="shared" si="175"/>
        <v>HL</v>
      </c>
      <c r="U319" s="42" t="str">
        <f t="shared" si="176"/>
        <v>O</v>
      </c>
      <c r="V319" s="42" t="str">
        <f t="shared" si="177"/>
        <v>U</v>
      </c>
      <c r="W319" s="42" t="str">
        <f t="shared" si="178"/>
        <v>O</v>
      </c>
      <c r="X319" s="42" t="str">
        <f t="shared" si="179"/>
        <v>U</v>
      </c>
      <c r="Z319" s="42">
        <v>59</v>
      </c>
      <c r="AB319" s="42" t="str">
        <f t="shared" si="180"/>
        <v>TOR/HOU</v>
      </c>
      <c r="AC319" s="42">
        <f t="shared" si="181"/>
        <v>2</v>
      </c>
      <c r="AD319" s="42">
        <f t="shared" si="182"/>
        <v>2</v>
      </c>
    </row>
    <row r="320" spans="1:30" ht="17.100000000000001" x14ac:dyDescent="0.45">
      <c r="A320" s="42">
        <v>191206</v>
      </c>
      <c r="B320" s="1">
        <v>0.41666666666666669</v>
      </c>
      <c r="C320" s="42" t="s">
        <v>27</v>
      </c>
      <c r="D320" s="5" t="s">
        <v>43</v>
      </c>
      <c r="E320" s="42">
        <v>40</v>
      </c>
      <c r="F320" s="42">
        <v>30</v>
      </c>
      <c r="G320" s="42">
        <v>21</v>
      </c>
      <c r="H320" s="42">
        <v>34</v>
      </c>
      <c r="I320" s="42">
        <v>7</v>
      </c>
      <c r="J320" s="42">
        <v>38</v>
      </c>
      <c r="K320" s="42">
        <v>36</v>
      </c>
      <c r="L320" s="42">
        <v>33</v>
      </c>
      <c r="M320" s="42">
        <v>18</v>
      </c>
      <c r="N320" s="42">
        <v>14</v>
      </c>
      <c r="O320" s="42">
        <f t="shared" si="170"/>
        <v>132</v>
      </c>
      <c r="P320" s="42">
        <f t="shared" si="171"/>
        <v>139</v>
      </c>
      <c r="Q320" s="42" t="str">
        <f t="shared" si="172"/>
        <v>HW</v>
      </c>
      <c r="R320" s="42" t="str">
        <f t="shared" si="173"/>
        <v>HL</v>
      </c>
      <c r="S320" s="42" t="str">
        <f t="shared" si="174"/>
        <v>HL</v>
      </c>
      <c r="T320" s="42" t="str">
        <f t="shared" si="175"/>
        <v>HW</v>
      </c>
      <c r="U320" s="42" t="str">
        <f t="shared" si="176"/>
        <v>O</v>
      </c>
      <c r="V320" s="42" t="str">
        <f t="shared" si="177"/>
        <v>O</v>
      </c>
      <c r="W320" s="42" t="str">
        <f t="shared" si="178"/>
        <v>U</v>
      </c>
      <c r="X320" s="42" t="str">
        <f t="shared" si="179"/>
        <v>U</v>
      </c>
      <c r="Z320" s="42">
        <v>57.5</v>
      </c>
      <c r="AB320" s="42" t="str">
        <f t="shared" si="180"/>
        <v>NO/PHO</v>
      </c>
      <c r="AC320" s="42">
        <f t="shared" si="181"/>
        <v>2</v>
      </c>
      <c r="AD320" s="42">
        <f t="shared" si="182"/>
        <v>2</v>
      </c>
    </row>
    <row r="321" spans="1:30" ht="17.100000000000001" x14ac:dyDescent="0.45">
      <c r="A321" s="42">
        <v>191207</v>
      </c>
      <c r="B321" s="1">
        <v>0.375</v>
      </c>
      <c r="C321" s="42" t="s">
        <v>40</v>
      </c>
      <c r="D321" s="5" t="s">
        <v>39</v>
      </c>
      <c r="E321" s="42">
        <v>25</v>
      </c>
      <c r="F321" s="42">
        <v>22</v>
      </c>
      <c r="G321" s="42">
        <v>23</v>
      </c>
      <c r="H321" s="42">
        <v>17</v>
      </c>
      <c r="I321" s="42"/>
      <c r="J321" s="42">
        <v>24</v>
      </c>
      <c r="K321" s="42">
        <v>28</v>
      </c>
      <c r="L321" s="42">
        <v>16</v>
      </c>
      <c r="M321" s="42">
        <v>25</v>
      </c>
      <c r="N321" s="42" t="s">
        <v>427</v>
      </c>
      <c r="O321" s="42">
        <f t="shared" ref="O321:O384" si="183">SUM(E321:I321)</f>
        <v>87</v>
      </c>
      <c r="P321" s="42">
        <f t="shared" ref="P321:P384" si="184">SUM(J321:N321)</f>
        <v>93</v>
      </c>
      <c r="Q321" s="42" t="str">
        <f t="shared" ref="Q321:Q384" si="185">IF(E321=J321,"TT",IF(E321&gt;J321,"HW","HL"))</f>
        <v>HW</v>
      </c>
      <c r="R321" s="42" t="str">
        <f t="shared" ref="R321:R384" si="186">IF(F321=K321,"TT",IF(F321&gt;K321,"HW","HL"))</f>
        <v>HL</v>
      </c>
      <c r="S321" s="42" t="str">
        <f t="shared" ref="S321:S384" si="187">IF(G321=L321,"TT",IF(G321&gt;L321,"HW","HL"))</f>
        <v>HW</v>
      </c>
      <c r="T321" s="42" t="str">
        <f t="shared" ref="T321:T384" si="188">IF(H321=M321,"TT",IF(H321&gt;M321,"HW","HL"))</f>
        <v>HL</v>
      </c>
      <c r="U321" s="42" t="str">
        <f t="shared" ref="U321:U384" si="189">IF(SUM(E321,J321)=$Z321,"T",IF(SUM(E321,J321)&gt;$Z321,"O","U"))</f>
        <v>U</v>
      </c>
      <c r="V321" s="42" t="str">
        <f t="shared" ref="V321:V384" si="190">IF(SUM(F321,K321)=$Z321,"T",IF(SUM(F321,K321)&gt;$Z321,"O","U"))</f>
        <v>U</v>
      </c>
      <c r="W321" s="42" t="str">
        <f t="shared" ref="W321:W384" si="191">IF(SUM(G321,L321)=$Z321,"T",IF(SUM(G321,L321)&gt;$Z321,"O","U"))</f>
        <v>U</v>
      </c>
      <c r="X321" s="42" t="str">
        <f t="shared" ref="X321:X384" si="192">IF(SUM(H321,M321)=$Z321,"T",IF(SUM(H321,M321)&gt;$Z321,"O","U"))</f>
        <v>U</v>
      </c>
      <c r="Z321" s="42">
        <v>54</v>
      </c>
      <c r="AB321" s="42" t="str">
        <f t="shared" ref="AB321:AB384" si="193">C321&amp;"/"&amp;D321</f>
        <v>CLE/ORL</v>
      </c>
      <c r="AC321" s="42">
        <f t="shared" ref="AC321:AC384" si="194">COUNTIF(U321:X321,"o")</f>
        <v>0</v>
      </c>
      <c r="AD321" s="42">
        <f t="shared" ref="AD321:AD384" si="195">COUNTIF(U321:X321,"u")</f>
        <v>4</v>
      </c>
    </row>
    <row r="322" spans="1:30" ht="17.100000000000001" x14ac:dyDescent="0.45">
      <c r="A322" s="42">
        <v>191207</v>
      </c>
      <c r="B322" s="1">
        <v>0.375</v>
      </c>
      <c r="C322" s="42" t="s">
        <v>36</v>
      </c>
      <c r="D322" s="5" t="s">
        <v>35</v>
      </c>
      <c r="E322" s="42">
        <v>32</v>
      </c>
      <c r="F322" s="42">
        <v>23</v>
      </c>
      <c r="G322" s="42">
        <v>16</v>
      </c>
      <c r="H322" s="42">
        <v>37</v>
      </c>
      <c r="I322" s="42"/>
      <c r="J322" s="42">
        <v>19</v>
      </c>
      <c r="K322" s="42">
        <v>25</v>
      </c>
      <c r="L322" s="42">
        <v>31</v>
      </c>
      <c r="M322" s="42">
        <v>26</v>
      </c>
      <c r="N322" s="42" t="s">
        <v>427</v>
      </c>
      <c r="O322" s="42">
        <f t="shared" si="183"/>
        <v>108</v>
      </c>
      <c r="P322" s="42">
        <f t="shared" si="184"/>
        <v>101</v>
      </c>
      <c r="Q322" s="42" t="str">
        <f t="shared" si="185"/>
        <v>HW</v>
      </c>
      <c r="R322" s="42" t="str">
        <f t="shared" si="186"/>
        <v>HL</v>
      </c>
      <c r="S322" s="42" t="str">
        <f t="shared" si="187"/>
        <v>HL</v>
      </c>
      <c r="T322" s="42" t="str">
        <f t="shared" si="188"/>
        <v>HW</v>
      </c>
      <c r="U322" s="42" t="str">
        <f t="shared" si="189"/>
        <v>U</v>
      </c>
      <c r="V322" s="42" t="str">
        <f t="shared" si="190"/>
        <v>U</v>
      </c>
      <c r="W322" s="42" t="str">
        <f t="shared" si="191"/>
        <v>U</v>
      </c>
      <c r="X322" s="42" t="str">
        <f t="shared" si="192"/>
        <v>O</v>
      </c>
      <c r="Z322" s="42">
        <v>54.5</v>
      </c>
      <c r="AB322" s="42" t="str">
        <f t="shared" si="193"/>
        <v>DET/IND</v>
      </c>
      <c r="AC322" s="42">
        <f t="shared" si="194"/>
        <v>1</v>
      </c>
      <c r="AD322" s="42">
        <f t="shared" si="195"/>
        <v>3</v>
      </c>
    </row>
    <row r="323" spans="1:30" ht="17.100000000000001" x14ac:dyDescent="0.45">
      <c r="A323" s="42">
        <v>191207</v>
      </c>
      <c r="B323" s="1">
        <v>0.375</v>
      </c>
      <c r="C323" s="42" t="s">
        <v>31</v>
      </c>
      <c r="D323" s="5" t="s">
        <v>30</v>
      </c>
      <c r="E323" s="42">
        <v>32</v>
      </c>
      <c r="F323" s="42">
        <v>25</v>
      </c>
      <c r="G323" s="42">
        <v>27</v>
      </c>
      <c r="H323" s="42">
        <v>20</v>
      </c>
      <c r="I323" s="42"/>
      <c r="J323" s="42">
        <v>29</v>
      </c>
      <c r="K323" s="42">
        <v>26</v>
      </c>
      <c r="L323" s="42">
        <v>31</v>
      </c>
      <c r="M323" s="42">
        <v>25</v>
      </c>
      <c r="N323" s="42" t="s">
        <v>427</v>
      </c>
      <c r="O323" s="42">
        <f t="shared" si="183"/>
        <v>104</v>
      </c>
      <c r="P323" s="42">
        <f t="shared" si="184"/>
        <v>111</v>
      </c>
      <c r="Q323" s="42" t="str">
        <f t="shared" si="185"/>
        <v>HW</v>
      </c>
      <c r="R323" s="42" t="str">
        <f t="shared" si="186"/>
        <v>HL</v>
      </c>
      <c r="S323" s="42" t="str">
        <f t="shared" si="187"/>
        <v>HL</v>
      </c>
      <c r="T323" s="42" t="str">
        <f t="shared" si="188"/>
        <v>HL</v>
      </c>
      <c r="U323" s="42" t="str">
        <f t="shared" si="189"/>
        <v>O</v>
      </c>
      <c r="V323" s="42" t="str">
        <f t="shared" si="190"/>
        <v>U</v>
      </c>
      <c r="W323" s="42" t="str">
        <f t="shared" si="191"/>
        <v>O</v>
      </c>
      <c r="X323" s="42" t="str">
        <f t="shared" si="192"/>
        <v>U</v>
      </c>
      <c r="Z323" s="42">
        <v>53.5</v>
      </c>
      <c r="AB323" s="42" t="str">
        <f t="shared" si="193"/>
        <v>CHA/BKN</v>
      </c>
      <c r="AC323" s="42">
        <f t="shared" si="194"/>
        <v>2</v>
      </c>
      <c r="AD323" s="42">
        <f t="shared" si="195"/>
        <v>2</v>
      </c>
    </row>
    <row r="324" spans="1:30" ht="17.100000000000001" x14ac:dyDescent="0.45">
      <c r="A324" s="42">
        <v>191207</v>
      </c>
      <c r="B324" s="1">
        <v>0.41666666666666669</v>
      </c>
      <c r="C324" s="42" t="s">
        <v>42</v>
      </c>
      <c r="D324" s="5" t="s">
        <v>46</v>
      </c>
      <c r="E324" s="42">
        <v>33</v>
      </c>
      <c r="F324" s="42">
        <v>20</v>
      </c>
      <c r="G324" s="42">
        <v>32</v>
      </c>
      <c r="H324" s="42">
        <v>23</v>
      </c>
      <c r="I324" s="42"/>
      <c r="J324" s="42">
        <v>26</v>
      </c>
      <c r="K324" s="42">
        <v>19</v>
      </c>
      <c r="L324" s="42">
        <v>19</v>
      </c>
      <c r="M324" s="42">
        <v>31</v>
      </c>
      <c r="N324" s="42" t="s">
        <v>427</v>
      </c>
      <c r="O324" s="42">
        <f t="shared" si="183"/>
        <v>108</v>
      </c>
      <c r="P324" s="42">
        <f t="shared" si="184"/>
        <v>95</v>
      </c>
      <c r="Q324" s="42" t="str">
        <f t="shared" si="185"/>
        <v>HW</v>
      </c>
      <c r="R324" s="42" t="str">
        <f t="shared" si="186"/>
        <v>HW</v>
      </c>
      <c r="S324" s="42" t="str">
        <f t="shared" si="187"/>
        <v>HW</v>
      </c>
      <c r="T324" s="42" t="str">
        <f t="shared" si="188"/>
        <v>HL</v>
      </c>
      <c r="U324" s="42" t="str">
        <f t="shared" si="189"/>
        <v>O</v>
      </c>
      <c r="V324" s="42" t="str">
        <f t="shared" si="190"/>
        <v>U</v>
      </c>
      <c r="W324" s="42" t="str">
        <f t="shared" si="191"/>
        <v>U</v>
      </c>
      <c r="X324" s="42" t="str">
        <f t="shared" si="192"/>
        <v>O</v>
      </c>
      <c r="Z324" s="42">
        <v>52.5</v>
      </c>
      <c r="AB324" s="42" t="str">
        <f t="shared" si="193"/>
        <v>BOS/DEN</v>
      </c>
      <c r="AC324" s="42">
        <f t="shared" si="194"/>
        <v>2</v>
      </c>
      <c r="AD324" s="42">
        <f t="shared" si="195"/>
        <v>2</v>
      </c>
    </row>
    <row r="325" spans="1:30" ht="17.100000000000001" x14ac:dyDescent="0.45">
      <c r="A325" s="42">
        <v>191207</v>
      </c>
      <c r="B325" s="1">
        <v>0.41666666666666669</v>
      </c>
      <c r="C325" s="42" t="s">
        <v>32</v>
      </c>
      <c r="D325" s="5" t="s">
        <v>51</v>
      </c>
      <c r="E325" s="42">
        <v>28</v>
      </c>
      <c r="F325" s="42">
        <v>23</v>
      </c>
      <c r="G325" s="42">
        <v>32</v>
      </c>
      <c r="H325" s="42">
        <v>15</v>
      </c>
      <c r="I325" s="42"/>
      <c r="J325" s="42">
        <v>23</v>
      </c>
      <c r="K325" s="42">
        <v>27</v>
      </c>
      <c r="L325" s="42">
        <v>27</v>
      </c>
      <c r="M325" s="42">
        <v>23</v>
      </c>
      <c r="N325" s="42" t="s">
        <v>427</v>
      </c>
      <c r="O325" s="42">
        <f t="shared" si="183"/>
        <v>98</v>
      </c>
      <c r="P325" s="42">
        <f t="shared" si="184"/>
        <v>100</v>
      </c>
      <c r="Q325" s="42" t="str">
        <f t="shared" si="185"/>
        <v>HW</v>
      </c>
      <c r="R325" s="42" t="str">
        <f t="shared" si="186"/>
        <v>HL</v>
      </c>
      <c r="S325" s="42" t="str">
        <f t="shared" si="187"/>
        <v>HW</v>
      </c>
      <c r="T325" s="42" t="str">
        <f t="shared" si="188"/>
        <v>HL</v>
      </c>
      <c r="U325" s="42" t="str">
        <f t="shared" si="189"/>
        <v>U</v>
      </c>
      <c r="V325" s="42" t="str">
        <f t="shared" si="190"/>
        <v>U</v>
      </c>
      <c r="W325" s="42" t="str">
        <f t="shared" si="191"/>
        <v>O</v>
      </c>
      <c r="X325" s="42" t="str">
        <f t="shared" si="192"/>
        <v>U</v>
      </c>
      <c r="Z325" s="42">
        <v>54.5</v>
      </c>
      <c r="AB325" s="42" t="str">
        <f t="shared" si="193"/>
        <v>CHI/GS</v>
      </c>
      <c r="AC325" s="42">
        <f t="shared" si="194"/>
        <v>1</v>
      </c>
      <c r="AD325" s="42">
        <f t="shared" si="195"/>
        <v>3</v>
      </c>
    </row>
    <row r="326" spans="1:30" ht="17.100000000000001" x14ac:dyDescent="0.45">
      <c r="A326" s="42">
        <v>191207</v>
      </c>
      <c r="B326" s="1">
        <v>0.41666666666666669</v>
      </c>
      <c r="C326" s="42" t="s">
        <v>37</v>
      </c>
      <c r="D326" s="5" t="s">
        <v>34</v>
      </c>
      <c r="E326" s="42">
        <v>27</v>
      </c>
      <c r="F326" s="42">
        <v>34</v>
      </c>
      <c r="G326" s="42">
        <v>25</v>
      </c>
      <c r="H326" s="42">
        <v>26</v>
      </c>
      <c r="I326" s="42"/>
      <c r="J326" s="42">
        <v>28</v>
      </c>
      <c r="K326" s="42">
        <v>37</v>
      </c>
      <c r="L326" s="42">
        <v>20</v>
      </c>
      <c r="M326" s="42">
        <v>18</v>
      </c>
      <c r="N326" s="42" t="s">
        <v>427</v>
      </c>
      <c r="O326" s="42">
        <f t="shared" si="183"/>
        <v>112</v>
      </c>
      <c r="P326" s="42">
        <f t="shared" si="184"/>
        <v>103</v>
      </c>
      <c r="Q326" s="42" t="str">
        <f t="shared" si="185"/>
        <v>HL</v>
      </c>
      <c r="R326" s="42" t="str">
        <f t="shared" si="186"/>
        <v>HL</v>
      </c>
      <c r="S326" s="42" t="str">
        <f t="shared" si="187"/>
        <v>HW</v>
      </c>
      <c r="T326" s="42" t="str">
        <f t="shared" si="188"/>
        <v>HW</v>
      </c>
      <c r="U326" s="42" t="str">
        <f t="shared" si="189"/>
        <v>U</v>
      </c>
      <c r="V326" s="42" t="str">
        <f t="shared" si="190"/>
        <v>O</v>
      </c>
      <c r="W326" s="42" t="str">
        <f t="shared" si="191"/>
        <v>U</v>
      </c>
      <c r="X326" s="42" t="str">
        <f t="shared" si="192"/>
        <v>U</v>
      </c>
      <c r="Z326" s="42">
        <v>59.5</v>
      </c>
      <c r="AB326" s="42" t="str">
        <f t="shared" si="193"/>
        <v>MIA/WAS</v>
      </c>
      <c r="AC326" s="42">
        <f t="shared" si="194"/>
        <v>1</v>
      </c>
      <c r="AD326" s="42">
        <f t="shared" si="195"/>
        <v>3</v>
      </c>
    </row>
    <row r="327" spans="1:30" ht="17.100000000000001" x14ac:dyDescent="0.45">
      <c r="A327" s="42">
        <v>191207</v>
      </c>
      <c r="B327" s="1">
        <v>0.41666666666666669</v>
      </c>
      <c r="C327" s="42" t="s">
        <v>49</v>
      </c>
      <c r="D327" s="5" t="s">
        <v>29</v>
      </c>
      <c r="E327" s="42">
        <v>30</v>
      </c>
      <c r="F327" s="42">
        <v>23</v>
      </c>
      <c r="G327" s="42">
        <v>41</v>
      </c>
      <c r="H327" s="42">
        <v>28</v>
      </c>
      <c r="I327" s="42">
        <v>17</v>
      </c>
      <c r="J327" s="42">
        <v>27</v>
      </c>
      <c r="K327" s="42">
        <v>31</v>
      </c>
      <c r="L327" s="42">
        <v>39</v>
      </c>
      <c r="M327" s="42">
        <v>25</v>
      </c>
      <c r="N327" s="42">
        <v>5</v>
      </c>
      <c r="O327" s="42">
        <f t="shared" si="183"/>
        <v>139</v>
      </c>
      <c r="P327" s="42">
        <f t="shared" si="184"/>
        <v>127</v>
      </c>
      <c r="Q327" s="42" t="str">
        <f t="shared" si="185"/>
        <v>HW</v>
      </c>
      <c r="R327" s="42" t="str">
        <f t="shared" si="186"/>
        <v>HL</v>
      </c>
      <c r="S327" s="42" t="str">
        <f t="shared" si="187"/>
        <v>HW</v>
      </c>
      <c r="T327" s="42" t="str">
        <f t="shared" si="188"/>
        <v>HW</v>
      </c>
      <c r="U327" s="42" t="str">
        <f t="shared" si="189"/>
        <v>O</v>
      </c>
      <c r="V327" s="42" t="str">
        <f t="shared" si="190"/>
        <v>U</v>
      </c>
      <c r="W327" s="42" t="str">
        <f t="shared" si="191"/>
        <v>O</v>
      </c>
      <c r="X327" s="42" t="str">
        <f t="shared" si="192"/>
        <v>U</v>
      </c>
      <c r="Z327" s="42">
        <v>56.5</v>
      </c>
      <c r="AB327" s="42" t="str">
        <f t="shared" si="193"/>
        <v>OKC/MIN</v>
      </c>
      <c r="AC327" s="42">
        <f t="shared" si="194"/>
        <v>2</v>
      </c>
      <c r="AD327" s="42">
        <f t="shared" si="195"/>
        <v>2</v>
      </c>
    </row>
    <row r="328" spans="1:30" ht="17.100000000000001" x14ac:dyDescent="0.45">
      <c r="A328" s="42">
        <v>191207</v>
      </c>
      <c r="B328" s="1">
        <v>0.4375</v>
      </c>
      <c r="C328" s="42" t="s">
        <v>53</v>
      </c>
      <c r="D328" s="5" t="s">
        <v>25</v>
      </c>
      <c r="E328" s="42">
        <v>30</v>
      </c>
      <c r="F328" s="42">
        <v>22</v>
      </c>
      <c r="G328" s="42">
        <v>35</v>
      </c>
      <c r="H328" s="42">
        <v>32</v>
      </c>
      <c r="I328" s="42"/>
      <c r="J328" s="42">
        <v>15</v>
      </c>
      <c r="K328" s="42">
        <v>28</v>
      </c>
      <c r="L328" s="42">
        <v>19</v>
      </c>
      <c r="M328" s="42">
        <v>29</v>
      </c>
      <c r="N328" s="42" t="s">
        <v>427</v>
      </c>
      <c r="O328" s="42">
        <f t="shared" si="183"/>
        <v>119</v>
      </c>
      <c r="P328" s="42">
        <f t="shared" si="184"/>
        <v>91</v>
      </c>
      <c r="Q328" s="42" t="str">
        <f t="shared" si="185"/>
        <v>HW</v>
      </c>
      <c r="R328" s="42" t="str">
        <f t="shared" si="186"/>
        <v>HL</v>
      </c>
      <c r="S328" s="42" t="str">
        <f t="shared" si="187"/>
        <v>HW</v>
      </c>
      <c r="T328" s="42" t="str">
        <f t="shared" si="188"/>
        <v>HW</v>
      </c>
      <c r="U328" s="42" t="str">
        <f t="shared" si="189"/>
        <v>U</v>
      </c>
      <c r="V328" s="42" t="str">
        <f t="shared" si="190"/>
        <v>U</v>
      </c>
      <c r="W328" s="42" t="str">
        <f t="shared" si="191"/>
        <v>U</v>
      </c>
      <c r="X328" s="42" t="str">
        <f t="shared" si="192"/>
        <v>O</v>
      </c>
      <c r="Z328" s="42">
        <v>60</v>
      </c>
      <c r="AB328" s="42" t="str">
        <f t="shared" si="193"/>
        <v>MIL/LAC</v>
      </c>
      <c r="AC328" s="42">
        <f t="shared" si="194"/>
        <v>1</v>
      </c>
      <c r="AD328" s="42">
        <f t="shared" si="195"/>
        <v>3</v>
      </c>
    </row>
    <row r="329" spans="1:30" ht="17.100000000000001" x14ac:dyDescent="0.45">
      <c r="A329" s="42">
        <v>191207</v>
      </c>
      <c r="B329" s="1">
        <v>0.4375</v>
      </c>
      <c r="C329" s="42" t="s">
        <v>56</v>
      </c>
      <c r="D329" s="5" t="s">
        <v>44</v>
      </c>
      <c r="E329" s="42">
        <v>21</v>
      </c>
      <c r="F329" s="42">
        <v>31</v>
      </c>
      <c r="G329" s="42">
        <v>17</v>
      </c>
      <c r="H329" s="42">
        <v>31</v>
      </c>
      <c r="I329" s="42">
        <v>5</v>
      </c>
      <c r="J329" s="42">
        <v>17</v>
      </c>
      <c r="K329" s="42">
        <v>25</v>
      </c>
      <c r="L329" s="42">
        <v>30</v>
      </c>
      <c r="M329" s="42">
        <v>28</v>
      </c>
      <c r="N329" s="42">
        <v>4</v>
      </c>
      <c r="O329" s="42">
        <f t="shared" si="183"/>
        <v>105</v>
      </c>
      <c r="P329" s="42">
        <f t="shared" si="184"/>
        <v>104</v>
      </c>
      <c r="Q329" s="42" t="str">
        <f t="shared" si="185"/>
        <v>HW</v>
      </c>
      <c r="R329" s="42" t="str">
        <f t="shared" si="186"/>
        <v>HW</v>
      </c>
      <c r="S329" s="42" t="str">
        <f t="shared" si="187"/>
        <v>HL</v>
      </c>
      <c r="T329" s="42" t="str">
        <f t="shared" si="188"/>
        <v>HW</v>
      </c>
      <c r="U329" s="42" t="str">
        <f t="shared" si="189"/>
        <v>U</v>
      </c>
      <c r="V329" s="42" t="str">
        <f t="shared" si="190"/>
        <v>O</v>
      </c>
      <c r="W329" s="42" t="str">
        <f t="shared" si="191"/>
        <v>U</v>
      </c>
      <c r="X329" s="42" t="str">
        <f t="shared" si="192"/>
        <v>O</v>
      </c>
      <c r="Z329" s="42">
        <v>55.5</v>
      </c>
      <c r="AB329" s="42" t="str">
        <f t="shared" si="193"/>
        <v>SAS/SAC</v>
      </c>
      <c r="AC329" s="42">
        <f t="shared" si="194"/>
        <v>2</v>
      </c>
      <c r="AD329" s="42">
        <f t="shared" si="195"/>
        <v>2</v>
      </c>
    </row>
    <row r="330" spans="1:30" ht="17.100000000000001" x14ac:dyDescent="0.45">
      <c r="A330" s="42">
        <v>191207</v>
      </c>
      <c r="B330" s="1">
        <v>0.52083333333333337</v>
      </c>
      <c r="C330" s="42" t="s">
        <v>45</v>
      </c>
      <c r="D330" s="5" t="s">
        <v>26</v>
      </c>
      <c r="E330" s="42">
        <v>34</v>
      </c>
      <c r="F330" s="42">
        <v>28</v>
      </c>
      <c r="G330" s="42">
        <v>31</v>
      </c>
      <c r="H330" s="42">
        <v>20</v>
      </c>
      <c r="I330" s="42"/>
      <c r="J330" s="42">
        <v>39</v>
      </c>
      <c r="K330" s="42">
        <v>38</v>
      </c>
      <c r="L330" s="42">
        <v>33</v>
      </c>
      <c r="M330" s="42">
        <v>26</v>
      </c>
      <c r="N330" s="42" t="s">
        <v>427</v>
      </c>
      <c r="O330" s="42">
        <f t="shared" si="183"/>
        <v>113</v>
      </c>
      <c r="P330" s="42">
        <f t="shared" si="184"/>
        <v>136</v>
      </c>
      <c r="Q330" s="42" t="str">
        <f t="shared" si="185"/>
        <v>HL</v>
      </c>
      <c r="R330" s="42" t="str">
        <f t="shared" si="186"/>
        <v>HL</v>
      </c>
      <c r="S330" s="42" t="str">
        <f t="shared" si="187"/>
        <v>HL</v>
      </c>
      <c r="T330" s="42" t="str">
        <f t="shared" si="188"/>
        <v>HL</v>
      </c>
      <c r="U330" s="42" t="str">
        <f t="shared" si="189"/>
        <v>O</v>
      </c>
      <c r="V330" s="42" t="str">
        <f t="shared" si="190"/>
        <v>O</v>
      </c>
      <c r="W330" s="42" t="str">
        <f t="shared" si="191"/>
        <v>O</v>
      </c>
      <c r="X330" s="42" t="str">
        <f t="shared" si="192"/>
        <v>U</v>
      </c>
      <c r="Z330" s="42">
        <v>58</v>
      </c>
      <c r="AB330" s="42" t="str">
        <f t="shared" si="193"/>
        <v>POR/LAL</v>
      </c>
      <c r="AC330" s="42">
        <f t="shared" si="194"/>
        <v>3</v>
      </c>
      <c r="AD330" s="42">
        <f t="shared" si="195"/>
        <v>1</v>
      </c>
    </row>
    <row r="331" spans="1:30" ht="17.100000000000001" x14ac:dyDescent="0.45">
      <c r="A331" s="42">
        <v>191208</v>
      </c>
      <c r="B331" s="44">
        <v>0.16666666666666666</v>
      </c>
      <c r="C331" s="42" t="s">
        <v>397</v>
      </c>
      <c r="D331" s="42" t="s">
        <v>398</v>
      </c>
      <c r="E331" s="42">
        <v>31</v>
      </c>
      <c r="F331" s="42">
        <v>33</v>
      </c>
      <c r="G331" s="42">
        <v>40</v>
      </c>
      <c r="H331" s="42">
        <v>26</v>
      </c>
      <c r="I331" s="42"/>
      <c r="J331" s="42">
        <v>28</v>
      </c>
      <c r="K331" s="42">
        <v>24</v>
      </c>
      <c r="L331" s="42">
        <v>14</v>
      </c>
      <c r="M331" s="42">
        <v>18</v>
      </c>
      <c r="N331" s="42" t="s">
        <v>427</v>
      </c>
      <c r="O331" s="42">
        <f t="shared" si="183"/>
        <v>130</v>
      </c>
      <c r="P331" s="42">
        <f t="shared" si="184"/>
        <v>84</v>
      </c>
      <c r="Q331" s="42" t="str">
        <f t="shared" si="185"/>
        <v>HW</v>
      </c>
      <c r="R331" s="42" t="str">
        <f t="shared" si="186"/>
        <v>HW</v>
      </c>
      <c r="S331" s="42" t="str">
        <f t="shared" si="187"/>
        <v>HW</v>
      </c>
      <c r="T331" s="42" t="str">
        <f t="shared" si="188"/>
        <v>HW</v>
      </c>
      <c r="U331" s="42" t="str">
        <f t="shared" si="189"/>
        <v>U</v>
      </c>
      <c r="V331" s="42" t="str">
        <f t="shared" si="190"/>
        <v>U</v>
      </c>
      <c r="W331" s="42" t="str">
        <f t="shared" si="191"/>
        <v>U</v>
      </c>
      <c r="X331" s="42" t="str">
        <f t="shared" si="192"/>
        <v>U</v>
      </c>
      <c r="Z331" s="42">
        <v>59.5</v>
      </c>
      <c r="AB331" s="42" t="str">
        <f t="shared" si="193"/>
        <v>DAL/NO</v>
      </c>
      <c r="AC331" s="42">
        <f t="shared" si="194"/>
        <v>0</v>
      </c>
      <c r="AD331" s="42">
        <f t="shared" si="195"/>
        <v>4</v>
      </c>
    </row>
    <row r="332" spans="1:30" ht="17.100000000000001" x14ac:dyDescent="0.45">
      <c r="A332" s="42">
        <v>191208</v>
      </c>
      <c r="B332" s="44">
        <v>0.39583333333333331</v>
      </c>
      <c r="C332" s="42" t="s">
        <v>399</v>
      </c>
      <c r="D332" s="42" t="s">
        <v>400</v>
      </c>
      <c r="E332" s="42">
        <v>27</v>
      </c>
      <c r="F332" s="42">
        <v>33</v>
      </c>
      <c r="G332" s="42">
        <v>21</v>
      </c>
      <c r="H332" s="42">
        <v>22</v>
      </c>
      <c r="I332" s="42"/>
      <c r="J332" s="42">
        <v>32</v>
      </c>
      <c r="K332" s="42">
        <v>34</v>
      </c>
      <c r="L332" s="42">
        <v>23</v>
      </c>
      <c r="M332" s="42">
        <v>15</v>
      </c>
      <c r="N332" s="42" t="s">
        <v>427</v>
      </c>
      <c r="O332" s="42">
        <f t="shared" si="183"/>
        <v>103</v>
      </c>
      <c r="P332" s="42">
        <f t="shared" si="184"/>
        <v>104</v>
      </c>
      <c r="Q332" s="42" t="str">
        <f t="shared" si="185"/>
        <v>HL</v>
      </c>
      <c r="R332" s="42" t="str">
        <f t="shared" si="186"/>
        <v>HL</v>
      </c>
      <c r="S332" s="42" t="str">
        <f t="shared" si="187"/>
        <v>HL</v>
      </c>
      <c r="T332" s="42" t="str">
        <f t="shared" si="188"/>
        <v>HW</v>
      </c>
      <c r="U332" s="42" t="str">
        <f t="shared" si="189"/>
        <v>O</v>
      </c>
      <c r="V332" s="42" t="str">
        <f t="shared" si="190"/>
        <v>O</v>
      </c>
      <c r="W332" s="42" t="str">
        <f t="shared" si="191"/>
        <v>U</v>
      </c>
      <c r="X332" s="42" t="str">
        <f t="shared" si="192"/>
        <v>U</v>
      </c>
      <c r="Z332" s="42">
        <v>54</v>
      </c>
      <c r="AB332" s="42" t="str">
        <f t="shared" si="193"/>
        <v>NYK/IND</v>
      </c>
      <c r="AC332" s="42">
        <f t="shared" si="194"/>
        <v>2</v>
      </c>
      <c r="AD332" s="42">
        <f t="shared" si="195"/>
        <v>2</v>
      </c>
    </row>
    <row r="333" spans="1:30" ht="17.100000000000001" x14ac:dyDescent="0.45">
      <c r="A333" s="42">
        <v>191208</v>
      </c>
      <c r="B333" s="44">
        <v>0.39583333333333331</v>
      </c>
      <c r="C333" s="42" t="s">
        <v>401</v>
      </c>
      <c r="D333" s="42" t="s">
        <v>402</v>
      </c>
      <c r="E333" s="42">
        <v>36</v>
      </c>
      <c r="F333" s="42">
        <v>41</v>
      </c>
      <c r="G333" s="42">
        <v>31</v>
      </c>
      <c r="H333" s="42">
        <v>33</v>
      </c>
      <c r="I333" s="42"/>
      <c r="J333" s="42">
        <v>18</v>
      </c>
      <c r="K333" s="42">
        <v>18</v>
      </c>
      <c r="L333" s="42">
        <v>26</v>
      </c>
      <c r="M333" s="42">
        <v>32</v>
      </c>
      <c r="N333" s="42" t="s">
        <v>427</v>
      </c>
      <c r="O333" s="42">
        <f t="shared" si="183"/>
        <v>141</v>
      </c>
      <c r="P333" s="42">
        <f t="shared" si="184"/>
        <v>94</v>
      </c>
      <c r="Q333" s="42" t="str">
        <f t="shared" si="185"/>
        <v>HW</v>
      </c>
      <c r="R333" s="42" t="str">
        <f t="shared" si="186"/>
        <v>HW</v>
      </c>
      <c r="S333" s="42" t="str">
        <f t="shared" si="187"/>
        <v>HW</v>
      </c>
      <c r="T333" s="42" t="str">
        <f t="shared" si="188"/>
        <v>HW</v>
      </c>
      <c r="U333" s="42" t="str">
        <f t="shared" si="189"/>
        <v>O</v>
      </c>
      <c r="V333" s="42" t="str">
        <f t="shared" si="190"/>
        <v>O</v>
      </c>
      <c r="W333" s="42" t="str">
        <f t="shared" si="191"/>
        <v>O</v>
      </c>
      <c r="X333" s="42" t="str">
        <f t="shared" si="192"/>
        <v>O</v>
      </c>
      <c r="Z333" s="42">
        <v>53</v>
      </c>
      <c r="AB333" s="42" t="str">
        <f t="shared" si="193"/>
        <v>PHI/CLE</v>
      </c>
      <c r="AC333" s="42">
        <f t="shared" si="194"/>
        <v>4</v>
      </c>
      <c r="AD333" s="42">
        <f t="shared" si="195"/>
        <v>0</v>
      </c>
    </row>
    <row r="334" spans="1:30" ht="17.100000000000001" x14ac:dyDescent="0.45">
      <c r="A334" s="42">
        <v>191208</v>
      </c>
      <c r="B334" s="44">
        <v>0.41666666666666669</v>
      </c>
      <c r="C334" s="42" t="s">
        <v>403</v>
      </c>
      <c r="D334" s="42" t="s">
        <v>404</v>
      </c>
      <c r="E334" s="42">
        <v>23</v>
      </c>
      <c r="F334" s="42">
        <v>37</v>
      </c>
      <c r="G334" s="42">
        <v>23</v>
      </c>
      <c r="H334" s="42">
        <v>32</v>
      </c>
      <c r="I334" s="42"/>
      <c r="J334" s="42">
        <v>31</v>
      </c>
      <c r="K334" s="42">
        <v>21</v>
      </c>
      <c r="L334" s="42">
        <v>26</v>
      </c>
      <c r="M334" s="42">
        <v>31</v>
      </c>
      <c r="N334" s="42" t="s">
        <v>427</v>
      </c>
      <c r="O334" s="42">
        <f t="shared" si="183"/>
        <v>115</v>
      </c>
      <c r="P334" s="42">
        <f t="shared" si="184"/>
        <v>109</v>
      </c>
      <c r="Q334" s="42" t="str">
        <f t="shared" si="185"/>
        <v>HL</v>
      </c>
      <c r="R334" s="42" t="str">
        <f t="shared" si="186"/>
        <v>HW</v>
      </c>
      <c r="S334" s="42" t="str">
        <f t="shared" si="187"/>
        <v>HL</v>
      </c>
      <c r="T334" s="42" t="str">
        <f t="shared" si="188"/>
        <v>HW</v>
      </c>
      <c r="U334" s="42" t="str">
        <f t="shared" si="189"/>
        <v>U</v>
      </c>
      <c r="V334" s="42" t="str">
        <f t="shared" si="190"/>
        <v>U</v>
      </c>
      <c r="W334" s="42" t="str">
        <f t="shared" si="191"/>
        <v>U</v>
      </c>
      <c r="X334" s="42" t="str">
        <f t="shared" si="192"/>
        <v>O</v>
      </c>
      <c r="Z334" s="42">
        <v>58.5</v>
      </c>
      <c r="AB334" s="42" t="str">
        <f t="shared" si="193"/>
        <v>HOU/PHO</v>
      </c>
      <c r="AC334" s="42">
        <f t="shared" si="194"/>
        <v>1</v>
      </c>
      <c r="AD334" s="42">
        <f t="shared" si="195"/>
        <v>3</v>
      </c>
    </row>
    <row r="335" spans="1:30" ht="17.100000000000001" x14ac:dyDescent="0.45">
      <c r="A335" s="42">
        <v>191208</v>
      </c>
      <c r="B335" s="44">
        <v>0.5</v>
      </c>
      <c r="C335" s="42" t="s">
        <v>405</v>
      </c>
      <c r="D335" s="42" t="s">
        <v>406</v>
      </c>
      <c r="E335" s="42">
        <v>32</v>
      </c>
      <c r="F335" s="42">
        <v>37</v>
      </c>
      <c r="G335" s="42">
        <v>28</v>
      </c>
      <c r="H335" s="42">
        <v>29</v>
      </c>
      <c r="I335" s="42"/>
      <c r="J335" s="42">
        <v>36</v>
      </c>
      <c r="K335" s="42">
        <v>18</v>
      </c>
      <c r="L335" s="42">
        <v>30</v>
      </c>
      <c r="M335" s="42">
        <v>28</v>
      </c>
      <c r="N335" s="42" t="s">
        <v>427</v>
      </c>
      <c r="O335" s="42">
        <f t="shared" si="183"/>
        <v>126</v>
      </c>
      <c r="P335" s="42">
        <f t="shared" si="184"/>
        <v>112</v>
      </c>
      <c r="Q335" s="42" t="str">
        <f t="shared" si="185"/>
        <v>HL</v>
      </c>
      <c r="R335" s="42" t="str">
        <f t="shared" si="186"/>
        <v>HW</v>
      </c>
      <c r="S335" s="42" t="str">
        <f t="shared" si="187"/>
        <v>HL</v>
      </c>
      <c r="T335" s="42" t="str">
        <f t="shared" si="188"/>
        <v>HW</v>
      </c>
      <c r="U335" s="42" t="str">
        <f t="shared" si="189"/>
        <v>O</v>
      </c>
      <c r="V335" s="42" t="str">
        <f t="shared" si="190"/>
        <v>O</v>
      </c>
      <c r="W335" s="42" t="str">
        <f t="shared" si="191"/>
        <v>O</v>
      </c>
      <c r="X335" s="42" t="str">
        <f t="shared" si="192"/>
        <v>O</v>
      </c>
      <c r="Z335" s="42">
        <v>53</v>
      </c>
      <c r="AB335" s="42" t="str">
        <f t="shared" si="193"/>
        <v>UTA/MEM</v>
      </c>
      <c r="AC335" s="42">
        <f t="shared" si="194"/>
        <v>4</v>
      </c>
      <c r="AD335" s="42">
        <f t="shared" si="195"/>
        <v>0</v>
      </c>
    </row>
    <row r="336" spans="1:30" ht="17.100000000000001" x14ac:dyDescent="0.45">
      <c r="A336" s="42">
        <v>191209</v>
      </c>
      <c r="B336" s="44">
        <v>0.20833333333333334</v>
      </c>
      <c r="C336" s="42" t="s">
        <v>407</v>
      </c>
      <c r="D336" s="42" t="s">
        <v>408</v>
      </c>
      <c r="E336" s="42">
        <v>25</v>
      </c>
      <c r="F336" s="42">
        <v>28</v>
      </c>
      <c r="G336" s="42">
        <v>29</v>
      </c>
      <c r="H336" s="42">
        <v>23</v>
      </c>
      <c r="I336" s="42"/>
      <c r="J336" s="42">
        <v>21</v>
      </c>
      <c r="K336" s="42">
        <v>33</v>
      </c>
      <c r="L336" s="42">
        <v>23</v>
      </c>
      <c r="M336" s="42">
        <v>25</v>
      </c>
      <c r="N336" s="42" t="s">
        <v>427</v>
      </c>
      <c r="O336" s="42">
        <f t="shared" si="183"/>
        <v>105</v>
      </c>
      <c r="P336" s="42">
        <f t="shared" si="184"/>
        <v>102</v>
      </c>
      <c r="Q336" s="42" t="str">
        <f t="shared" si="185"/>
        <v>HW</v>
      </c>
      <c r="R336" s="42" t="str">
        <f t="shared" si="186"/>
        <v>HL</v>
      </c>
      <c r="S336" s="42" t="str">
        <f t="shared" si="187"/>
        <v>HW</v>
      </c>
      <c r="T336" s="42" t="str">
        <f t="shared" si="188"/>
        <v>HL</v>
      </c>
      <c r="U336" s="42" t="str">
        <f t="shared" si="189"/>
        <v>U</v>
      </c>
      <c r="V336" s="42" t="str">
        <f t="shared" si="190"/>
        <v>O</v>
      </c>
      <c r="W336" s="42" t="str">
        <f t="shared" si="191"/>
        <v>U</v>
      </c>
      <c r="X336" s="42" t="str">
        <f t="shared" si="192"/>
        <v>U</v>
      </c>
      <c r="Z336" s="42">
        <v>54.5</v>
      </c>
      <c r="AB336" s="42" t="str">
        <f t="shared" si="193"/>
        <v>BKN/DEN</v>
      </c>
      <c r="AC336" s="42">
        <f t="shared" si="194"/>
        <v>1</v>
      </c>
      <c r="AD336" s="42">
        <f t="shared" si="195"/>
        <v>3</v>
      </c>
    </row>
    <row r="337" spans="1:30" ht="17.100000000000001" x14ac:dyDescent="0.45">
      <c r="A337" s="42">
        <v>191209</v>
      </c>
      <c r="B337" s="44">
        <v>0.29166666666666669</v>
      </c>
      <c r="C337" s="42" t="s">
        <v>409</v>
      </c>
      <c r="D337" s="42" t="s">
        <v>410</v>
      </c>
      <c r="E337" s="42">
        <v>27</v>
      </c>
      <c r="F337" s="42">
        <v>26</v>
      </c>
      <c r="G337" s="42">
        <v>30</v>
      </c>
      <c r="H337" s="42">
        <v>24</v>
      </c>
      <c r="I337" s="42"/>
      <c r="J337" s="42">
        <v>24</v>
      </c>
      <c r="K337" s="42">
        <v>27</v>
      </c>
      <c r="L337" s="42">
        <v>37</v>
      </c>
      <c r="M337" s="42">
        <v>34</v>
      </c>
      <c r="N337" s="42" t="s">
        <v>427</v>
      </c>
      <c r="O337" s="42">
        <f t="shared" si="183"/>
        <v>107</v>
      </c>
      <c r="P337" s="42">
        <f t="shared" si="184"/>
        <v>122</v>
      </c>
      <c r="Q337" s="42" t="str">
        <f t="shared" si="185"/>
        <v>HW</v>
      </c>
      <c r="R337" s="42" t="str">
        <f t="shared" si="186"/>
        <v>HL</v>
      </c>
      <c r="S337" s="42" t="str">
        <f t="shared" si="187"/>
        <v>HL</v>
      </c>
      <c r="T337" s="42" t="str">
        <f t="shared" si="188"/>
        <v>HL</v>
      </c>
      <c r="U337" s="42" t="str">
        <f t="shared" si="189"/>
        <v>U</v>
      </c>
      <c r="V337" s="42" t="str">
        <f t="shared" si="190"/>
        <v>U</v>
      </c>
      <c r="W337" s="42" t="str">
        <f t="shared" si="191"/>
        <v>O</v>
      </c>
      <c r="X337" s="42" t="str">
        <f t="shared" si="192"/>
        <v>O</v>
      </c>
      <c r="Z337" s="42">
        <v>57</v>
      </c>
      <c r="AB337" s="42" t="str">
        <f t="shared" si="193"/>
        <v>CHA/ATL</v>
      </c>
      <c r="AC337" s="42">
        <f t="shared" si="194"/>
        <v>2</v>
      </c>
      <c r="AD337" s="42">
        <f t="shared" si="195"/>
        <v>2</v>
      </c>
    </row>
    <row r="338" spans="1:30" ht="17.100000000000001" x14ac:dyDescent="0.45">
      <c r="A338" s="42">
        <v>191209</v>
      </c>
      <c r="B338" s="44">
        <v>0.33333333333333331</v>
      </c>
      <c r="C338" s="42" t="s">
        <v>411</v>
      </c>
      <c r="D338" s="42" t="s">
        <v>412</v>
      </c>
      <c r="E338" s="42">
        <v>16</v>
      </c>
      <c r="F338" s="42">
        <v>31</v>
      </c>
      <c r="G338" s="42">
        <v>27</v>
      </c>
      <c r="H338" s="42">
        <v>23</v>
      </c>
      <c r="I338" s="42">
        <v>13</v>
      </c>
      <c r="J338" s="42">
        <v>25</v>
      </c>
      <c r="K338" s="42">
        <v>24</v>
      </c>
      <c r="L338" s="42">
        <v>24</v>
      </c>
      <c r="M338" s="42">
        <v>24</v>
      </c>
      <c r="N338" s="42">
        <v>8</v>
      </c>
      <c r="O338" s="42">
        <f t="shared" si="183"/>
        <v>110</v>
      </c>
      <c r="P338" s="42">
        <f t="shared" si="184"/>
        <v>105</v>
      </c>
      <c r="Q338" s="42" t="str">
        <f t="shared" si="185"/>
        <v>HL</v>
      </c>
      <c r="R338" s="42" t="str">
        <f t="shared" si="186"/>
        <v>HW</v>
      </c>
      <c r="S338" s="42" t="str">
        <f t="shared" si="187"/>
        <v>HW</v>
      </c>
      <c r="T338" s="42" t="str">
        <f t="shared" si="188"/>
        <v>HL</v>
      </c>
      <c r="U338" s="42" t="str">
        <f t="shared" si="189"/>
        <v>U</v>
      </c>
      <c r="V338" s="42" t="str">
        <f t="shared" si="190"/>
        <v>O</v>
      </c>
      <c r="W338" s="42" t="str">
        <f t="shared" si="191"/>
        <v>U</v>
      </c>
      <c r="X338" s="42" t="str">
        <f t="shared" si="192"/>
        <v>U</v>
      </c>
      <c r="Z338" s="42">
        <v>54</v>
      </c>
      <c r="AB338" s="42" t="str">
        <f t="shared" si="193"/>
        <v>MIA/CHI</v>
      </c>
      <c r="AC338" s="42">
        <f t="shared" si="194"/>
        <v>1</v>
      </c>
      <c r="AD338" s="42">
        <f t="shared" si="195"/>
        <v>3</v>
      </c>
    </row>
    <row r="339" spans="1:30" ht="17.100000000000001" x14ac:dyDescent="0.45">
      <c r="A339" s="42">
        <v>191209</v>
      </c>
      <c r="B339" s="44">
        <v>0.33333333333333331</v>
      </c>
      <c r="C339" s="42" t="s">
        <v>401</v>
      </c>
      <c r="D339" s="42" t="s">
        <v>413</v>
      </c>
      <c r="E339" s="42">
        <v>27</v>
      </c>
      <c r="F339" s="42">
        <v>30</v>
      </c>
      <c r="G339" s="42">
        <v>29</v>
      </c>
      <c r="H339" s="42">
        <v>24</v>
      </c>
      <c r="I339" s="42"/>
      <c r="J339" s="42">
        <v>22</v>
      </c>
      <c r="K339" s="42">
        <v>20</v>
      </c>
      <c r="L339" s="42">
        <v>26</v>
      </c>
      <c r="M339" s="42">
        <v>36</v>
      </c>
      <c r="N339" s="42" t="s">
        <v>427</v>
      </c>
      <c r="O339" s="42">
        <f t="shared" si="183"/>
        <v>110</v>
      </c>
      <c r="P339" s="42">
        <f t="shared" si="184"/>
        <v>104</v>
      </c>
      <c r="Q339" s="42" t="str">
        <f t="shared" si="185"/>
        <v>HW</v>
      </c>
      <c r="R339" s="42" t="str">
        <f t="shared" si="186"/>
        <v>HW</v>
      </c>
      <c r="S339" s="42" t="str">
        <f t="shared" si="187"/>
        <v>HW</v>
      </c>
      <c r="T339" s="42" t="str">
        <f t="shared" si="188"/>
        <v>HL</v>
      </c>
      <c r="U339" s="42" t="str">
        <f t="shared" si="189"/>
        <v>U</v>
      </c>
      <c r="V339" s="42" t="str">
        <f t="shared" si="190"/>
        <v>U</v>
      </c>
      <c r="W339" s="42" t="str">
        <f t="shared" si="191"/>
        <v>O</v>
      </c>
      <c r="X339" s="42" t="str">
        <f t="shared" si="192"/>
        <v>O</v>
      </c>
      <c r="Z339" s="42">
        <v>54.5</v>
      </c>
      <c r="AB339" s="42" t="str">
        <f t="shared" si="193"/>
        <v>PHI/TOR</v>
      </c>
      <c r="AC339" s="42">
        <f t="shared" si="194"/>
        <v>2</v>
      </c>
      <c r="AD339" s="42">
        <f t="shared" si="195"/>
        <v>2</v>
      </c>
    </row>
    <row r="340" spans="1:30" ht="17.100000000000001" x14ac:dyDescent="0.45">
      <c r="A340" s="42">
        <v>191209</v>
      </c>
      <c r="B340" s="44">
        <v>0.33333333333333331</v>
      </c>
      <c r="C340" s="42" t="s">
        <v>414</v>
      </c>
      <c r="D340" s="42" t="s">
        <v>415</v>
      </c>
      <c r="E340" s="42">
        <v>25</v>
      </c>
      <c r="F340" s="42">
        <v>39</v>
      </c>
      <c r="G340" s="42">
        <v>29</v>
      </c>
      <c r="H340" s="42">
        <v>26</v>
      </c>
      <c r="I340" s="42"/>
      <c r="J340" s="42">
        <v>35</v>
      </c>
      <c r="K340" s="42">
        <v>30</v>
      </c>
      <c r="L340" s="42">
        <v>35</v>
      </c>
      <c r="M340" s="42">
        <v>35</v>
      </c>
      <c r="N340" s="42" t="s">
        <v>427</v>
      </c>
      <c r="O340" s="42">
        <f t="shared" si="183"/>
        <v>119</v>
      </c>
      <c r="P340" s="42">
        <f t="shared" si="184"/>
        <v>135</v>
      </c>
      <c r="Q340" s="42" t="str">
        <f t="shared" si="185"/>
        <v>HL</v>
      </c>
      <c r="R340" s="42" t="str">
        <f t="shared" si="186"/>
        <v>HW</v>
      </c>
      <c r="S340" s="42" t="str">
        <f t="shared" si="187"/>
        <v>HL</v>
      </c>
      <c r="T340" s="42" t="str">
        <f t="shared" si="188"/>
        <v>HL</v>
      </c>
      <c r="U340" s="42" t="str">
        <f t="shared" si="189"/>
        <v>U</v>
      </c>
      <c r="V340" s="42" t="str">
        <f t="shared" si="190"/>
        <v>O</v>
      </c>
      <c r="W340" s="42" t="str">
        <f t="shared" si="191"/>
        <v>O</v>
      </c>
      <c r="X340" s="42" t="str">
        <f t="shared" si="192"/>
        <v>O</v>
      </c>
      <c r="Z340" s="42">
        <v>60.5</v>
      </c>
      <c r="AB340" s="42" t="str">
        <f t="shared" si="193"/>
        <v>WAS/LAC</v>
      </c>
      <c r="AC340" s="42">
        <f t="shared" si="194"/>
        <v>3</v>
      </c>
      <c r="AD340" s="42">
        <f t="shared" si="195"/>
        <v>1</v>
      </c>
    </row>
    <row r="341" spans="1:30" ht="17.100000000000001" x14ac:dyDescent="0.45">
      <c r="A341" s="42">
        <v>191209</v>
      </c>
      <c r="B341" s="44">
        <v>0.375</v>
      </c>
      <c r="C341" s="42" t="s">
        <v>397</v>
      </c>
      <c r="D341" s="42" t="s">
        <v>416</v>
      </c>
      <c r="E341" s="42">
        <v>27</v>
      </c>
      <c r="F341" s="42">
        <v>19</v>
      </c>
      <c r="G341" s="42">
        <v>32</v>
      </c>
      <c r="H341" s="42">
        <v>28</v>
      </c>
      <c r="I341" s="42"/>
      <c r="J341" s="42">
        <v>36</v>
      </c>
      <c r="K341" s="42">
        <v>30</v>
      </c>
      <c r="L341" s="42">
        <v>26</v>
      </c>
      <c r="M341" s="42">
        <v>18</v>
      </c>
      <c r="N341" s="42" t="s">
        <v>427</v>
      </c>
      <c r="O341" s="42">
        <f t="shared" si="183"/>
        <v>106</v>
      </c>
      <c r="P341" s="42">
        <f t="shared" si="184"/>
        <v>110</v>
      </c>
      <c r="Q341" s="42" t="str">
        <f t="shared" si="185"/>
        <v>HL</v>
      </c>
      <c r="R341" s="42" t="str">
        <f t="shared" si="186"/>
        <v>HL</v>
      </c>
      <c r="S341" s="42" t="str">
        <f t="shared" si="187"/>
        <v>HW</v>
      </c>
      <c r="T341" s="42" t="str">
        <f t="shared" si="188"/>
        <v>HW</v>
      </c>
      <c r="U341" s="42" t="str">
        <f t="shared" si="189"/>
        <v>O</v>
      </c>
      <c r="V341" s="42" t="str">
        <f t="shared" si="190"/>
        <v>U</v>
      </c>
      <c r="W341" s="42" t="str">
        <f t="shared" si="191"/>
        <v>O</v>
      </c>
      <c r="X341" s="42" t="str">
        <f t="shared" si="192"/>
        <v>U</v>
      </c>
      <c r="Z341" s="42">
        <v>55.5</v>
      </c>
      <c r="AB341" s="42" t="str">
        <f t="shared" si="193"/>
        <v>DAL/SAC</v>
      </c>
      <c r="AC341" s="42">
        <f t="shared" si="194"/>
        <v>2</v>
      </c>
      <c r="AD341" s="42">
        <f t="shared" si="195"/>
        <v>2</v>
      </c>
    </row>
    <row r="342" spans="1:30" ht="17.100000000000001" x14ac:dyDescent="0.45">
      <c r="A342" s="42">
        <v>191209</v>
      </c>
      <c r="B342" s="44">
        <v>0.45833333333333331</v>
      </c>
      <c r="C342" s="42" t="s">
        <v>417</v>
      </c>
      <c r="D342" s="42" t="s">
        <v>418</v>
      </c>
      <c r="E342" s="42">
        <v>20</v>
      </c>
      <c r="F342" s="42">
        <v>27</v>
      </c>
      <c r="G342" s="42">
        <v>31</v>
      </c>
      <c r="H342" s="42">
        <v>18</v>
      </c>
      <c r="I342" s="42"/>
      <c r="J342" s="42">
        <v>21</v>
      </c>
      <c r="K342" s="42">
        <v>34</v>
      </c>
      <c r="L342" s="42">
        <v>27</v>
      </c>
      <c r="M342" s="42">
        <v>26</v>
      </c>
      <c r="N342" s="42" t="s">
        <v>427</v>
      </c>
      <c r="O342" s="42">
        <f t="shared" si="183"/>
        <v>96</v>
      </c>
      <c r="P342" s="42">
        <f t="shared" si="184"/>
        <v>108</v>
      </c>
      <c r="Q342" s="42" t="str">
        <f t="shared" si="185"/>
        <v>HL</v>
      </c>
      <c r="R342" s="42" t="str">
        <f t="shared" si="186"/>
        <v>HL</v>
      </c>
      <c r="S342" s="42" t="str">
        <f t="shared" si="187"/>
        <v>HW</v>
      </c>
      <c r="T342" s="42" t="str">
        <f t="shared" si="188"/>
        <v>HL</v>
      </c>
      <c r="U342" s="42" t="str">
        <f t="shared" si="189"/>
        <v>U</v>
      </c>
      <c r="V342" s="42" t="str">
        <f t="shared" si="190"/>
        <v>O</v>
      </c>
      <c r="W342" s="42" t="str">
        <f t="shared" si="191"/>
        <v>O</v>
      </c>
      <c r="X342" s="42" t="str">
        <f t="shared" si="192"/>
        <v>U</v>
      </c>
      <c r="Z342" s="42">
        <v>57.5</v>
      </c>
      <c r="AB342" s="42" t="str">
        <f t="shared" si="193"/>
        <v>POR/OKC</v>
      </c>
      <c r="AC342" s="42">
        <f t="shared" si="194"/>
        <v>2</v>
      </c>
      <c r="AD342" s="42">
        <f t="shared" si="195"/>
        <v>2</v>
      </c>
    </row>
    <row r="343" spans="1:30" ht="17.100000000000001" x14ac:dyDescent="0.45">
      <c r="A343" s="42">
        <v>191209</v>
      </c>
      <c r="B343" s="44">
        <v>0.47916666666666669</v>
      </c>
      <c r="C343" s="42" t="s">
        <v>419</v>
      </c>
      <c r="D343" s="42" t="s">
        <v>420</v>
      </c>
      <c r="E343" s="42">
        <v>39</v>
      </c>
      <c r="F343" s="42">
        <v>34</v>
      </c>
      <c r="G343" s="42">
        <v>37</v>
      </c>
      <c r="H343" s="42">
        <v>32</v>
      </c>
      <c r="I343" s="42"/>
      <c r="J343" s="42">
        <v>31</v>
      </c>
      <c r="K343" s="42">
        <v>34</v>
      </c>
      <c r="L343" s="42">
        <v>38</v>
      </c>
      <c r="M343" s="42">
        <v>22</v>
      </c>
      <c r="N343" s="42" t="s">
        <v>427</v>
      </c>
      <c r="O343" s="42">
        <f t="shared" si="183"/>
        <v>142</v>
      </c>
      <c r="P343" s="42">
        <f t="shared" si="184"/>
        <v>125</v>
      </c>
      <c r="Q343" s="42" t="str">
        <f t="shared" si="185"/>
        <v>HW</v>
      </c>
      <c r="R343" s="42" t="str">
        <f t="shared" si="186"/>
        <v>TT</v>
      </c>
      <c r="S343" s="42" t="str">
        <f t="shared" si="187"/>
        <v>HL</v>
      </c>
      <c r="T343" s="42" t="str">
        <f t="shared" si="188"/>
        <v>HW</v>
      </c>
      <c r="U343" s="42" t="str">
        <f t="shared" si="189"/>
        <v>O</v>
      </c>
      <c r="V343" s="42" t="str">
        <f t="shared" si="190"/>
        <v>O</v>
      </c>
      <c r="W343" s="42" t="str">
        <f t="shared" si="191"/>
        <v>O</v>
      </c>
      <c r="X343" s="42" t="str">
        <f t="shared" si="192"/>
        <v>U</v>
      </c>
      <c r="Z343" s="42">
        <v>58.5</v>
      </c>
      <c r="AB343" s="42" t="str">
        <f t="shared" si="193"/>
        <v>LAL/MIN</v>
      </c>
      <c r="AC343" s="42">
        <f t="shared" si="194"/>
        <v>3</v>
      </c>
      <c r="AD343" s="42">
        <f t="shared" si="195"/>
        <v>1</v>
      </c>
    </row>
    <row r="344" spans="1:30" ht="17.100000000000001" x14ac:dyDescent="0.45">
      <c r="A344" s="42">
        <v>191210</v>
      </c>
      <c r="B344" s="44">
        <v>0.375</v>
      </c>
      <c r="C344" s="42" t="s">
        <v>400</v>
      </c>
      <c r="D344" s="42" t="s">
        <v>415</v>
      </c>
      <c r="E344" s="42">
        <v>19</v>
      </c>
      <c r="F344" s="42">
        <v>29</v>
      </c>
      <c r="G344" s="42">
        <v>25</v>
      </c>
      <c r="H344" s="42">
        <v>26</v>
      </c>
      <c r="I344" s="42"/>
      <c r="J344" s="42">
        <v>24</v>
      </c>
      <c r="K344" s="42">
        <v>36</v>
      </c>
      <c r="L344" s="42">
        <v>31</v>
      </c>
      <c r="M344" s="42">
        <v>19</v>
      </c>
      <c r="N344" s="42" t="s">
        <v>427</v>
      </c>
      <c r="O344" s="42">
        <f t="shared" si="183"/>
        <v>99</v>
      </c>
      <c r="P344" s="42">
        <f t="shared" si="184"/>
        <v>110</v>
      </c>
      <c r="Q344" s="42" t="str">
        <f t="shared" si="185"/>
        <v>HL</v>
      </c>
      <c r="R344" s="42" t="str">
        <f t="shared" si="186"/>
        <v>HL</v>
      </c>
      <c r="S344" s="42" t="str">
        <f t="shared" si="187"/>
        <v>HL</v>
      </c>
      <c r="T344" s="42" t="str">
        <f t="shared" si="188"/>
        <v>HW</v>
      </c>
      <c r="U344" s="42" t="str">
        <f t="shared" si="189"/>
        <v>U</v>
      </c>
      <c r="V344" s="42" t="str">
        <f t="shared" si="190"/>
        <v>O</v>
      </c>
      <c r="W344" s="42" t="str">
        <f t="shared" si="191"/>
        <v>T</v>
      </c>
      <c r="X344" s="42" t="str">
        <f t="shared" si="192"/>
        <v>U</v>
      </c>
      <c r="Z344" s="42">
        <v>56</v>
      </c>
      <c r="AB344" s="42" t="str">
        <f t="shared" si="193"/>
        <v>IND/LAC</v>
      </c>
      <c r="AC344" s="42">
        <f t="shared" si="194"/>
        <v>1</v>
      </c>
      <c r="AD344" s="42">
        <f t="shared" si="195"/>
        <v>2</v>
      </c>
    </row>
    <row r="345" spans="1:30" ht="17.100000000000001" x14ac:dyDescent="0.45">
      <c r="A345" s="42">
        <v>191210</v>
      </c>
      <c r="B345" s="44">
        <v>0.39583333333333331</v>
      </c>
      <c r="C345" s="42" t="s">
        <v>421</v>
      </c>
      <c r="D345" s="42" t="s">
        <v>402</v>
      </c>
      <c r="E345" s="42">
        <v>29</v>
      </c>
      <c r="F345" s="42">
        <v>24</v>
      </c>
      <c r="G345" s="42">
        <v>30</v>
      </c>
      <c r="H345" s="42">
        <v>27</v>
      </c>
      <c r="I345" s="42"/>
      <c r="J345" s="42">
        <v>18</v>
      </c>
      <c r="K345" s="42">
        <v>22</v>
      </c>
      <c r="L345" s="42">
        <v>26</v>
      </c>
      <c r="M345" s="42">
        <v>22</v>
      </c>
      <c r="N345" s="42" t="s">
        <v>427</v>
      </c>
      <c r="O345" s="42">
        <f t="shared" si="183"/>
        <v>110</v>
      </c>
      <c r="P345" s="42">
        <f t="shared" si="184"/>
        <v>88</v>
      </c>
      <c r="Q345" s="42" t="str">
        <f t="shared" si="185"/>
        <v>HW</v>
      </c>
      <c r="R345" s="42" t="str">
        <f t="shared" si="186"/>
        <v>HW</v>
      </c>
      <c r="S345" s="42" t="str">
        <f t="shared" si="187"/>
        <v>HW</v>
      </c>
      <c r="T345" s="42" t="str">
        <f t="shared" si="188"/>
        <v>HW</v>
      </c>
      <c r="U345" s="42" t="str">
        <f t="shared" si="189"/>
        <v>U</v>
      </c>
      <c r="V345" s="42" t="str">
        <f t="shared" si="190"/>
        <v>U</v>
      </c>
      <c r="W345" s="42" t="str">
        <f t="shared" si="191"/>
        <v>O</v>
      </c>
      <c r="X345" s="42" t="str">
        <f t="shared" si="192"/>
        <v>U</v>
      </c>
      <c r="Z345" s="42">
        <v>52.5</v>
      </c>
      <c r="AB345" s="42" t="str">
        <f t="shared" si="193"/>
        <v>BOS/CLE</v>
      </c>
      <c r="AC345" s="42">
        <f t="shared" si="194"/>
        <v>1</v>
      </c>
      <c r="AD345" s="42">
        <f t="shared" si="195"/>
        <v>3</v>
      </c>
    </row>
    <row r="346" spans="1:30" ht="17.100000000000001" x14ac:dyDescent="0.45">
      <c r="A346" s="42">
        <v>191210</v>
      </c>
      <c r="B346" s="44">
        <v>0.41666666666666669</v>
      </c>
      <c r="C346" s="42" t="s">
        <v>398</v>
      </c>
      <c r="D346" s="42" t="s">
        <v>422</v>
      </c>
      <c r="E346" s="42">
        <v>29</v>
      </c>
      <c r="F346" s="42">
        <v>24</v>
      </c>
      <c r="G346" s="42">
        <v>21</v>
      </c>
      <c r="H346" s="42">
        <v>29</v>
      </c>
      <c r="I346" s="42"/>
      <c r="J346" s="42">
        <v>25</v>
      </c>
      <c r="K346" s="42">
        <v>22</v>
      </c>
      <c r="L346" s="42">
        <v>34</v>
      </c>
      <c r="M346" s="42">
        <v>24</v>
      </c>
      <c r="N346" s="42" t="s">
        <v>427</v>
      </c>
      <c r="O346" s="42">
        <f t="shared" si="183"/>
        <v>103</v>
      </c>
      <c r="P346" s="42">
        <f t="shared" si="184"/>
        <v>105</v>
      </c>
      <c r="Q346" s="42" t="str">
        <f t="shared" si="185"/>
        <v>HW</v>
      </c>
      <c r="R346" s="42" t="str">
        <f t="shared" si="186"/>
        <v>HW</v>
      </c>
      <c r="S346" s="42" t="str">
        <f t="shared" si="187"/>
        <v>HL</v>
      </c>
      <c r="T346" s="42" t="str">
        <f t="shared" si="188"/>
        <v>HW</v>
      </c>
      <c r="U346" s="42" t="str">
        <f t="shared" si="189"/>
        <v>U</v>
      </c>
      <c r="V346" s="42" t="str">
        <f t="shared" si="190"/>
        <v>U</v>
      </c>
      <c r="W346" s="42" t="str">
        <f t="shared" si="191"/>
        <v>U</v>
      </c>
      <c r="X346" s="42" t="str">
        <f t="shared" si="192"/>
        <v>U</v>
      </c>
      <c r="Z346" s="42">
        <v>58</v>
      </c>
      <c r="AB346" s="42" t="str">
        <f t="shared" si="193"/>
        <v>NO/DET</v>
      </c>
      <c r="AC346" s="42">
        <f t="shared" si="194"/>
        <v>0</v>
      </c>
      <c r="AD346" s="42">
        <f t="shared" si="195"/>
        <v>4</v>
      </c>
    </row>
    <row r="347" spans="1:30" ht="17.100000000000001" x14ac:dyDescent="0.45">
      <c r="A347" s="42">
        <v>191210</v>
      </c>
      <c r="B347" s="44">
        <v>0.41666666666666669</v>
      </c>
      <c r="C347" s="42" t="s">
        <v>412</v>
      </c>
      <c r="D347" s="42" t="s">
        <v>413</v>
      </c>
      <c r="E347" s="42">
        <v>30</v>
      </c>
      <c r="F347" s="42">
        <v>21</v>
      </c>
      <c r="G347" s="42">
        <v>20</v>
      </c>
      <c r="H347" s="42">
        <v>21</v>
      </c>
      <c r="I347" s="42"/>
      <c r="J347" s="42">
        <v>30</v>
      </c>
      <c r="K347" s="42">
        <v>19</v>
      </c>
      <c r="L347" s="42">
        <v>22</v>
      </c>
      <c r="M347" s="42">
        <v>22</v>
      </c>
      <c r="N347" s="42" t="s">
        <v>427</v>
      </c>
      <c r="O347" s="42">
        <f t="shared" si="183"/>
        <v>92</v>
      </c>
      <c r="P347" s="42">
        <f t="shared" si="184"/>
        <v>93</v>
      </c>
      <c r="Q347" s="42" t="str">
        <f t="shared" si="185"/>
        <v>TT</v>
      </c>
      <c r="R347" s="42" t="str">
        <f t="shared" si="186"/>
        <v>HW</v>
      </c>
      <c r="S347" s="42" t="str">
        <f t="shared" si="187"/>
        <v>HL</v>
      </c>
      <c r="T347" s="42" t="str">
        <f t="shared" si="188"/>
        <v>HL</v>
      </c>
      <c r="U347" s="42" t="str">
        <f t="shared" si="189"/>
        <v>O</v>
      </c>
      <c r="V347" s="42" t="str">
        <f t="shared" si="190"/>
        <v>U</v>
      </c>
      <c r="W347" s="42" t="str">
        <f t="shared" si="191"/>
        <v>U</v>
      </c>
      <c r="X347" s="42" t="str">
        <f t="shared" si="192"/>
        <v>U</v>
      </c>
      <c r="Z347" s="42">
        <v>55</v>
      </c>
      <c r="AB347" s="42" t="str">
        <f t="shared" si="193"/>
        <v>CHI/TOR</v>
      </c>
      <c r="AC347" s="42">
        <f t="shared" si="194"/>
        <v>1</v>
      </c>
      <c r="AD347" s="42">
        <f t="shared" si="195"/>
        <v>3</v>
      </c>
    </row>
    <row r="348" spans="1:30" ht="17.100000000000001" x14ac:dyDescent="0.45">
      <c r="A348" s="42">
        <v>191210</v>
      </c>
      <c r="B348" s="44">
        <v>0.41666666666666669</v>
      </c>
      <c r="C348" s="42" t="s">
        <v>403</v>
      </c>
      <c r="D348" s="42" t="s">
        <v>416</v>
      </c>
      <c r="E348" s="42">
        <v>28</v>
      </c>
      <c r="F348" s="42">
        <v>36</v>
      </c>
      <c r="G348" s="42">
        <v>29</v>
      </c>
      <c r="H348" s="42">
        <v>25</v>
      </c>
      <c r="I348" s="42"/>
      <c r="J348" s="42">
        <v>32</v>
      </c>
      <c r="K348" s="42">
        <v>27</v>
      </c>
      <c r="L348" s="42">
        <v>35</v>
      </c>
      <c r="M348" s="42">
        <v>25</v>
      </c>
      <c r="N348" s="42" t="s">
        <v>427</v>
      </c>
      <c r="O348" s="42">
        <f t="shared" si="183"/>
        <v>118</v>
      </c>
      <c r="P348" s="42">
        <f t="shared" si="184"/>
        <v>119</v>
      </c>
      <c r="Q348" s="42" t="str">
        <f t="shared" si="185"/>
        <v>HL</v>
      </c>
      <c r="R348" s="42" t="str">
        <f t="shared" si="186"/>
        <v>HW</v>
      </c>
      <c r="S348" s="42" t="str">
        <f t="shared" si="187"/>
        <v>HL</v>
      </c>
      <c r="T348" s="42" t="str">
        <f t="shared" si="188"/>
        <v>TT</v>
      </c>
      <c r="U348" s="42" t="str">
        <f t="shared" si="189"/>
        <v>O</v>
      </c>
      <c r="V348" s="42" t="str">
        <f t="shared" si="190"/>
        <v>O</v>
      </c>
      <c r="W348" s="42" t="str">
        <f t="shared" si="191"/>
        <v>O</v>
      </c>
      <c r="X348" s="42" t="str">
        <f t="shared" si="192"/>
        <v>U</v>
      </c>
      <c r="Z348" s="42">
        <v>58</v>
      </c>
      <c r="AB348" s="42" t="str">
        <f t="shared" si="193"/>
        <v>HOU/SAC</v>
      </c>
      <c r="AC348" s="42">
        <f t="shared" si="194"/>
        <v>3</v>
      </c>
      <c r="AD348" s="42">
        <f t="shared" si="195"/>
        <v>1</v>
      </c>
    </row>
    <row r="349" spans="1:30" ht="17.100000000000001" x14ac:dyDescent="0.45">
      <c r="A349" s="42">
        <v>191210</v>
      </c>
      <c r="B349" s="44">
        <v>0.41666666666666669</v>
      </c>
      <c r="C349" s="42" t="s">
        <v>423</v>
      </c>
      <c r="D349" s="42" t="s">
        <v>424</v>
      </c>
      <c r="E349" s="42">
        <v>31</v>
      </c>
      <c r="F349" s="42">
        <v>21</v>
      </c>
      <c r="G349" s="42">
        <v>28</v>
      </c>
      <c r="H349" s="42">
        <v>30</v>
      </c>
      <c r="I349" s="42"/>
      <c r="J349" s="42">
        <v>20</v>
      </c>
      <c r="K349" s="42">
        <v>20</v>
      </c>
      <c r="L349" s="42">
        <v>33</v>
      </c>
      <c r="M349" s="42">
        <v>28</v>
      </c>
      <c r="N349" s="42" t="s">
        <v>427</v>
      </c>
      <c r="O349" s="42">
        <f t="shared" si="183"/>
        <v>110</v>
      </c>
      <c r="P349" s="42">
        <f t="shared" si="184"/>
        <v>101</v>
      </c>
      <c r="Q349" s="42" t="str">
        <f t="shared" si="185"/>
        <v>HW</v>
      </c>
      <c r="R349" s="42" t="str">
        <f t="shared" si="186"/>
        <v>HW</v>
      </c>
      <c r="S349" s="42" t="str">
        <f t="shared" si="187"/>
        <v>HL</v>
      </c>
      <c r="T349" s="42" t="str">
        <f t="shared" si="188"/>
        <v>HW</v>
      </c>
      <c r="U349" s="42" t="str">
        <f t="shared" si="189"/>
        <v>U</v>
      </c>
      <c r="V349" s="42" t="str">
        <f t="shared" si="190"/>
        <v>U</v>
      </c>
      <c r="W349" s="42" t="str">
        <f t="shared" si="191"/>
        <v>O</v>
      </c>
      <c r="X349" s="42" t="str">
        <f t="shared" si="192"/>
        <v>O</v>
      </c>
      <c r="Z349" s="42">
        <v>56.5</v>
      </c>
      <c r="AB349" s="42" t="str">
        <f t="shared" si="193"/>
        <v>MIL/ORL</v>
      </c>
      <c r="AC349" s="42">
        <f t="shared" si="194"/>
        <v>2</v>
      </c>
      <c r="AD349" s="42">
        <f t="shared" si="195"/>
        <v>2</v>
      </c>
    </row>
    <row r="350" spans="1:30" ht="17.100000000000001" x14ac:dyDescent="0.45">
      <c r="A350" s="42">
        <v>191210</v>
      </c>
      <c r="B350" s="44">
        <v>0.45833333333333331</v>
      </c>
      <c r="C350" s="42" t="s">
        <v>404</v>
      </c>
      <c r="D350" s="42" t="s">
        <v>420</v>
      </c>
      <c r="E350" s="42">
        <v>33</v>
      </c>
      <c r="F350" s="42">
        <v>28</v>
      </c>
      <c r="G350" s="42">
        <v>33</v>
      </c>
      <c r="H350" s="42">
        <v>31</v>
      </c>
      <c r="I350" s="42"/>
      <c r="J350" s="42">
        <v>31</v>
      </c>
      <c r="K350" s="42">
        <v>33</v>
      </c>
      <c r="L350" s="42">
        <v>21</v>
      </c>
      <c r="M350" s="42">
        <v>24</v>
      </c>
      <c r="N350" s="42" t="s">
        <v>427</v>
      </c>
      <c r="O350" s="42">
        <f t="shared" si="183"/>
        <v>125</v>
      </c>
      <c r="P350" s="42">
        <f t="shared" si="184"/>
        <v>109</v>
      </c>
      <c r="Q350" s="42" t="str">
        <f t="shared" si="185"/>
        <v>HW</v>
      </c>
      <c r="R350" s="42" t="str">
        <f t="shared" si="186"/>
        <v>HL</v>
      </c>
      <c r="S350" s="42" t="str">
        <f t="shared" si="187"/>
        <v>HW</v>
      </c>
      <c r="T350" s="42" t="str">
        <f t="shared" si="188"/>
        <v>HW</v>
      </c>
      <c r="U350" s="42" t="str">
        <f t="shared" si="189"/>
        <v>O</v>
      </c>
      <c r="V350" s="42" t="str">
        <f t="shared" si="190"/>
        <v>O</v>
      </c>
      <c r="W350" s="42" t="str">
        <f t="shared" si="191"/>
        <v>U</v>
      </c>
      <c r="X350" s="42" t="str">
        <f t="shared" si="192"/>
        <v>U</v>
      </c>
      <c r="Z350" s="42">
        <v>60</v>
      </c>
      <c r="AB350" s="42" t="str">
        <f t="shared" si="193"/>
        <v>PHO/MIN</v>
      </c>
      <c r="AC350" s="42">
        <f t="shared" si="194"/>
        <v>2</v>
      </c>
      <c r="AD350" s="42">
        <f t="shared" si="195"/>
        <v>2</v>
      </c>
    </row>
    <row r="351" spans="1:30" ht="17.100000000000001" x14ac:dyDescent="0.45">
      <c r="A351" s="42">
        <v>191210</v>
      </c>
      <c r="B351" s="44">
        <v>0.45833333333333331</v>
      </c>
      <c r="C351" s="42" t="s">
        <v>405</v>
      </c>
      <c r="D351" s="42" t="s">
        <v>418</v>
      </c>
      <c r="E351" s="42">
        <v>24</v>
      </c>
      <c r="F351" s="42">
        <v>23</v>
      </c>
      <c r="G351" s="42">
        <v>21</v>
      </c>
      <c r="H351" s="42">
        <v>22</v>
      </c>
      <c r="I351" s="42"/>
      <c r="J351" s="42">
        <v>25</v>
      </c>
      <c r="K351" s="42">
        <v>26</v>
      </c>
      <c r="L351" s="42">
        <v>34</v>
      </c>
      <c r="M351" s="42">
        <v>19</v>
      </c>
      <c r="N351" s="42" t="s">
        <v>427</v>
      </c>
      <c r="O351" s="42">
        <f t="shared" si="183"/>
        <v>90</v>
      </c>
      <c r="P351" s="42">
        <f t="shared" si="184"/>
        <v>104</v>
      </c>
      <c r="Q351" s="42" t="str">
        <f t="shared" si="185"/>
        <v>HL</v>
      </c>
      <c r="R351" s="42" t="str">
        <f t="shared" si="186"/>
        <v>HL</v>
      </c>
      <c r="S351" s="42" t="str">
        <f t="shared" si="187"/>
        <v>HL</v>
      </c>
      <c r="T351" s="42" t="str">
        <f t="shared" si="188"/>
        <v>HW</v>
      </c>
      <c r="U351" s="42" t="str">
        <f t="shared" si="189"/>
        <v>U</v>
      </c>
      <c r="V351" s="42" t="str">
        <f t="shared" si="190"/>
        <v>U</v>
      </c>
      <c r="W351" s="42" t="str">
        <f t="shared" si="191"/>
        <v>O</v>
      </c>
      <c r="X351" s="42" t="str">
        <f t="shared" si="192"/>
        <v>U</v>
      </c>
      <c r="Z351" s="42">
        <v>53.5</v>
      </c>
      <c r="AB351" s="42" t="str">
        <f t="shared" si="193"/>
        <v>UTA/OKC</v>
      </c>
      <c r="AC351" s="42">
        <f t="shared" si="194"/>
        <v>1</v>
      </c>
      <c r="AD351" s="42">
        <f t="shared" si="195"/>
        <v>3</v>
      </c>
    </row>
    <row r="352" spans="1:30" ht="17.100000000000001" x14ac:dyDescent="0.45">
      <c r="A352" s="42">
        <v>191210</v>
      </c>
      <c r="B352" s="44">
        <v>0.52083333333333337</v>
      </c>
      <c r="C352" s="42" t="s">
        <v>425</v>
      </c>
      <c r="D352" s="42" t="s">
        <v>406</v>
      </c>
      <c r="E352" s="42">
        <v>20</v>
      </c>
      <c r="F352" s="42">
        <v>27</v>
      </c>
      <c r="G352" s="42">
        <v>32</v>
      </c>
      <c r="H352" s="42">
        <v>23</v>
      </c>
      <c r="I352" s="42"/>
      <c r="J352" s="42">
        <v>29</v>
      </c>
      <c r="K352" s="42">
        <v>25</v>
      </c>
      <c r="L352" s="42">
        <v>34</v>
      </c>
      <c r="M352" s="42">
        <v>22</v>
      </c>
      <c r="N352" s="42" t="s">
        <v>427</v>
      </c>
      <c r="O352" s="42">
        <f t="shared" si="183"/>
        <v>102</v>
      </c>
      <c r="P352" s="42">
        <f t="shared" si="184"/>
        <v>110</v>
      </c>
      <c r="Q352" s="42" t="str">
        <f t="shared" si="185"/>
        <v>HL</v>
      </c>
      <c r="R352" s="42" t="str">
        <f t="shared" si="186"/>
        <v>HW</v>
      </c>
      <c r="S352" s="42" t="str">
        <f t="shared" si="187"/>
        <v>HL</v>
      </c>
      <c r="T352" s="42" t="str">
        <f t="shared" si="188"/>
        <v>HW</v>
      </c>
      <c r="U352" s="42" t="str">
        <f t="shared" si="189"/>
        <v>U</v>
      </c>
      <c r="V352" s="42" t="str">
        <f t="shared" si="190"/>
        <v>U</v>
      </c>
      <c r="W352" s="42" t="str">
        <f t="shared" si="191"/>
        <v>O</v>
      </c>
      <c r="X352" s="42" t="str">
        <f t="shared" si="192"/>
        <v>U</v>
      </c>
      <c r="Z352" s="42">
        <v>54</v>
      </c>
      <c r="AB352" s="42" t="str">
        <f t="shared" si="193"/>
        <v>GS/MEM</v>
      </c>
      <c r="AC352" s="42">
        <f t="shared" si="194"/>
        <v>1</v>
      </c>
      <c r="AD352" s="42">
        <f t="shared" si="195"/>
        <v>3</v>
      </c>
    </row>
    <row r="353" spans="1:30" ht="17.100000000000001" x14ac:dyDescent="0.45">
      <c r="A353" s="42">
        <v>191211</v>
      </c>
      <c r="B353" s="44">
        <v>0.375</v>
      </c>
      <c r="C353" s="42" t="s">
        <v>409</v>
      </c>
      <c r="D353" s="42" t="s">
        <v>414</v>
      </c>
      <c r="E353" s="42">
        <v>28</v>
      </c>
      <c r="F353" s="42">
        <v>25</v>
      </c>
      <c r="G353" s="42">
        <v>29</v>
      </c>
      <c r="H353" s="42">
        <v>32</v>
      </c>
      <c r="I353" s="42"/>
      <c r="J353" s="42">
        <v>20</v>
      </c>
      <c r="K353" s="42">
        <v>28</v>
      </c>
      <c r="L353" s="42">
        <v>27</v>
      </c>
      <c r="M353" s="42">
        <v>32</v>
      </c>
      <c r="N353" s="42" t="s">
        <v>427</v>
      </c>
      <c r="O353" s="42">
        <f t="shared" si="183"/>
        <v>114</v>
      </c>
      <c r="P353" s="42">
        <f t="shared" si="184"/>
        <v>107</v>
      </c>
      <c r="Q353" s="42" t="str">
        <f t="shared" si="185"/>
        <v>HW</v>
      </c>
      <c r="R353" s="42" t="str">
        <f t="shared" si="186"/>
        <v>HL</v>
      </c>
      <c r="S353" s="42" t="str">
        <f t="shared" si="187"/>
        <v>HW</v>
      </c>
      <c r="T353" s="42" t="str">
        <f t="shared" si="188"/>
        <v>TT</v>
      </c>
      <c r="U353" s="42" t="str">
        <f t="shared" si="189"/>
        <v>U</v>
      </c>
      <c r="V353" s="42" t="str">
        <f t="shared" si="190"/>
        <v>U</v>
      </c>
      <c r="W353" s="42" t="str">
        <f t="shared" si="191"/>
        <v>U</v>
      </c>
      <c r="X353" s="42" t="str">
        <f t="shared" si="192"/>
        <v>O</v>
      </c>
      <c r="Z353" s="42">
        <v>59</v>
      </c>
      <c r="AB353" s="42" t="str">
        <f t="shared" si="193"/>
        <v>CHA/WAS</v>
      </c>
      <c r="AC353" s="42">
        <f t="shared" si="194"/>
        <v>1</v>
      </c>
      <c r="AD353" s="42">
        <f t="shared" si="195"/>
        <v>3</v>
      </c>
    </row>
    <row r="354" spans="1:30" ht="17.100000000000001" x14ac:dyDescent="0.45">
      <c r="A354" s="42">
        <v>191211</v>
      </c>
      <c r="B354" s="44">
        <v>0.41666666666666669</v>
      </c>
      <c r="C354" s="42" t="s">
        <v>411</v>
      </c>
      <c r="D354" s="42" t="s">
        <v>410</v>
      </c>
      <c r="E354" s="42">
        <v>36</v>
      </c>
      <c r="F354" s="42">
        <v>30</v>
      </c>
      <c r="G354" s="42">
        <v>27</v>
      </c>
      <c r="H354" s="42">
        <v>24</v>
      </c>
      <c r="I354" s="42">
        <v>18</v>
      </c>
      <c r="J354" s="42">
        <v>30</v>
      </c>
      <c r="K354" s="42">
        <v>34</v>
      </c>
      <c r="L354" s="42">
        <v>32</v>
      </c>
      <c r="M354" s="42">
        <v>21</v>
      </c>
      <c r="N354" s="42">
        <v>4</v>
      </c>
      <c r="O354" s="42">
        <f t="shared" si="183"/>
        <v>135</v>
      </c>
      <c r="P354" s="42">
        <f t="shared" si="184"/>
        <v>121</v>
      </c>
      <c r="Q354" s="42" t="str">
        <f t="shared" si="185"/>
        <v>HW</v>
      </c>
      <c r="R354" s="42" t="str">
        <f t="shared" si="186"/>
        <v>HL</v>
      </c>
      <c r="S354" s="42" t="str">
        <f t="shared" si="187"/>
        <v>HL</v>
      </c>
      <c r="T354" s="42" t="str">
        <f t="shared" si="188"/>
        <v>HW</v>
      </c>
      <c r="U354" s="42" t="str">
        <f t="shared" si="189"/>
        <v>O</v>
      </c>
      <c r="V354" s="42" t="str">
        <f t="shared" si="190"/>
        <v>O</v>
      </c>
      <c r="W354" s="42" t="str">
        <f t="shared" si="191"/>
        <v>O</v>
      </c>
      <c r="X354" s="42" t="str">
        <f t="shared" si="192"/>
        <v>U</v>
      </c>
      <c r="Z354" s="42">
        <v>56.5</v>
      </c>
      <c r="AB354" s="42" t="str">
        <f t="shared" si="193"/>
        <v>MIA/ATL</v>
      </c>
      <c r="AC354" s="42">
        <f t="shared" si="194"/>
        <v>3</v>
      </c>
      <c r="AD354" s="42">
        <f t="shared" si="195"/>
        <v>1</v>
      </c>
    </row>
    <row r="355" spans="1:30" ht="17.100000000000001" x14ac:dyDescent="0.45">
      <c r="A355" s="42">
        <v>191211</v>
      </c>
      <c r="B355" s="44">
        <v>0.41666666666666669</v>
      </c>
      <c r="C355" s="42" t="s">
        <v>401</v>
      </c>
      <c r="D355" s="42" t="s">
        <v>408</v>
      </c>
      <c r="E355" s="42">
        <v>26</v>
      </c>
      <c r="F355" s="42">
        <v>29</v>
      </c>
      <c r="G355" s="42">
        <v>28</v>
      </c>
      <c r="H355" s="42">
        <v>14</v>
      </c>
      <c r="I355" s="42"/>
      <c r="J355" s="42">
        <v>27</v>
      </c>
      <c r="K355" s="42">
        <v>23</v>
      </c>
      <c r="L355" s="42">
        <v>26</v>
      </c>
      <c r="M355" s="42">
        <v>16</v>
      </c>
      <c r="N355" s="42" t="s">
        <v>427</v>
      </c>
      <c r="O355" s="42">
        <f t="shared" si="183"/>
        <v>97</v>
      </c>
      <c r="P355" s="42">
        <f t="shared" si="184"/>
        <v>92</v>
      </c>
      <c r="Q355" s="42" t="str">
        <f t="shared" si="185"/>
        <v>HL</v>
      </c>
      <c r="R355" s="42" t="str">
        <f t="shared" si="186"/>
        <v>HW</v>
      </c>
      <c r="S355" s="42" t="str">
        <f t="shared" si="187"/>
        <v>HW</v>
      </c>
      <c r="T355" s="42" t="str">
        <f t="shared" si="188"/>
        <v>HL</v>
      </c>
      <c r="U355" s="42" t="str">
        <f t="shared" si="189"/>
        <v>U</v>
      </c>
      <c r="V355" s="42" t="str">
        <f t="shared" si="190"/>
        <v>U</v>
      </c>
      <c r="W355" s="42" t="str">
        <f t="shared" si="191"/>
        <v>O</v>
      </c>
      <c r="X355" s="42" t="str">
        <f t="shared" si="192"/>
        <v>U</v>
      </c>
      <c r="Z355" s="42">
        <v>53.5</v>
      </c>
      <c r="AB355" s="42" t="str">
        <f t="shared" si="193"/>
        <v>PHI/DEN</v>
      </c>
      <c r="AC355" s="42">
        <f t="shared" si="194"/>
        <v>1</v>
      </c>
      <c r="AD355" s="42">
        <f t="shared" si="195"/>
        <v>3</v>
      </c>
    </row>
    <row r="356" spans="1:30" ht="17.100000000000001" x14ac:dyDescent="0.45">
      <c r="A356" s="42">
        <v>191211</v>
      </c>
      <c r="B356" s="44">
        <v>0.5</v>
      </c>
      <c r="C356" s="42" t="s">
        <v>417</v>
      </c>
      <c r="D356" s="42" t="s">
        <v>399</v>
      </c>
      <c r="E356" s="42">
        <v>32</v>
      </c>
      <c r="F356" s="42">
        <v>28</v>
      </c>
      <c r="G356" s="42">
        <v>26</v>
      </c>
      <c r="H356" s="42">
        <v>29</v>
      </c>
      <c r="I356" s="42"/>
      <c r="J356" s="42">
        <v>22</v>
      </c>
      <c r="K356" s="42">
        <v>19</v>
      </c>
      <c r="L356" s="42">
        <v>18</v>
      </c>
      <c r="M356" s="42">
        <v>28</v>
      </c>
      <c r="N356" s="42" t="s">
        <v>427</v>
      </c>
      <c r="O356" s="42">
        <f t="shared" si="183"/>
        <v>115</v>
      </c>
      <c r="P356" s="42">
        <f t="shared" si="184"/>
        <v>87</v>
      </c>
      <c r="Q356" s="42" t="str">
        <f t="shared" si="185"/>
        <v>HW</v>
      </c>
      <c r="R356" s="42" t="str">
        <f t="shared" si="186"/>
        <v>HW</v>
      </c>
      <c r="S356" s="42" t="str">
        <f t="shared" si="187"/>
        <v>HW</v>
      </c>
      <c r="T356" s="42" t="str">
        <f t="shared" si="188"/>
        <v>HW</v>
      </c>
      <c r="U356" s="42" t="str">
        <f t="shared" si="189"/>
        <v>U</v>
      </c>
      <c r="V356" s="42" t="str">
        <f t="shared" si="190"/>
        <v>U</v>
      </c>
      <c r="W356" s="42" t="str">
        <f t="shared" si="191"/>
        <v>U</v>
      </c>
      <c r="X356" s="42" t="str">
        <f t="shared" si="192"/>
        <v>T</v>
      </c>
      <c r="Z356" s="42">
        <v>57</v>
      </c>
      <c r="AB356" s="42" t="str">
        <f t="shared" si="193"/>
        <v>POR/NYK</v>
      </c>
      <c r="AC356" s="42">
        <f t="shared" si="194"/>
        <v>0</v>
      </c>
      <c r="AD356" s="42">
        <f t="shared" si="195"/>
        <v>3</v>
      </c>
    </row>
    <row r="357" spans="1:30" ht="17.100000000000001" x14ac:dyDescent="0.45">
      <c r="A357" s="42">
        <v>191212</v>
      </c>
      <c r="B357" s="44">
        <v>0.375</v>
      </c>
      <c r="C357" s="42" t="s">
        <v>402</v>
      </c>
      <c r="D357" s="42" t="s">
        <v>403</v>
      </c>
      <c r="E357" s="42">
        <v>29</v>
      </c>
      <c r="F357" s="42">
        <v>28</v>
      </c>
      <c r="G357" s="42">
        <v>25</v>
      </c>
      <c r="H357" s="42">
        <v>28</v>
      </c>
      <c r="I357" s="42"/>
      <c r="J357" s="42">
        <v>35</v>
      </c>
      <c r="K357" s="42">
        <v>29</v>
      </c>
      <c r="L357" s="42">
        <v>24</v>
      </c>
      <c r="M357" s="42">
        <v>28</v>
      </c>
      <c r="N357" s="42" t="s">
        <v>427</v>
      </c>
      <c r="O357" s="42">
        <f t="shared" si="183"/>
        <v>110</v>
      </c>
      <c r="P357" s="42">
        <f t="shared" si="184"/>
        <v>116</v>
      </c>
      <c r="Q357" s="42" t="str">
        <f t="shared" si="185"/>
        <v>HL</v>
      </c>
      <c r="R357" s="42" t="str">
        <f t="shared" si="186"/>
        <v>HL</v>
      </c>
      <c r="S357" s="42" t="str">
        <f t="shared" si="187"/>
        <v>HW</v>
      </c>
      <c r="T357" s="42" t="str">
        <f t="shared" si="188"/>
        <v>TT</v>
      </c>
      <c r="U357" s="42" t="str">
        <f t="shared" si="189"/>
        <v>O</v>
      </c>
      <c r="V357" s="42" t="str">
        <f t="shared" si="190"/>
        <v>U</v>
      </c>
      <c r="W357" s="42" t="str">
        <f t="shared" si="191"/>
        <v>U</v>
      </c>
      <c r="X357" s="42" t="str">
        <f t="shared" si="192"/>
        <v>U</v>
      </c>
      <c r="Z357" s="42">
        <v>59</v>
      </c>
      <c r="AB357" s="42" t="str">
        <f t="shared" si="193"/>
        <v>CLE/HOU</v>
      </c>
      <c r="AC357" s="42">
        <f t="shared" si="194"/>
        <v>1</v>
      </c>
      <c r="AD357" s="42">
        <f t="shared" si="195"/>
        <v>3</v>
      </c>
    </row>
    <row r="358" spans="1:30" ht="17.100000000000001" x14ac:dyDescent="0.45">
      <c r="A358" s="42">
        <v>191212</v>
      </c>
      <c r="B358" s="44">
        <v>0.375</v>
      </c>
      <c r="C358" s="42" t="s">
        <v>400</v>
      </c>
      <c r="D358" s="42" t="s">
        <v>421</v>
      </c>
      <c r="E358" s="42">
        <v>30</v>
      </c>
      <c r="F358" s="42">
        <v>31</v>
      </c>
      <c r="G358" s="42">
        <v>23</v>
      </c>
      <c r="H358" s="42">
        <v>38</v>
      </c>
      <c r="I358" s="42"/>
      <c r="J358" s="42">
        <v>32</v>
      </c>
      <c r="K358" s="42">
        <v>25</v>
      </c>
      <c r="L358" s="42">
        <v>37</v>
      </c>
      <c r="M358" s="42">
        <v>23</v>
      </c>
      <c r="N358" s="42" t="s">
        <v>427</v>
      </c>
      <c r="O358" s="42">
        <f t="shared" si="183"/>
        <v>122</v>
      </c>
      <c r="P358" s="42">
        <f t="shared" si="184"/>
        <v>117</v>
      </c>
      <c r="Q358" s="42" t="str">
        <f t="shared" si="185"/>
        <v>HL</v>
      </c>
      <c r="R358" s="42" t="str">
        <f t="shared" si="186"/>
        <v>HW</v>
      </c>
      <c r="S358" s="42" t="str">
        <f t="shared" si="187"/>
        <v>HL</v>
      </c>
      <c r="T358" s="42" t="str">
        <f t="shared" si="188"/>
        <v>HW</v>
      </c>
      <c r="U358" s="42" t="str">
        <f t="shared" si="189"/>
        <v>O</v>
      </c>
      <c r="V358" s="42" t="str">
        <f t="shared" si="190"/>
        <v>O</v>
      </c>
      <c r="W358" s="42" t="str">
        <f t="shared" si="191"/>
        <v>O</v>
      </c>
      <c r="X358" s="42" t="str">
        <f t="shared" si="192"/>
        <v>O</v>
      </c>
      <c r="Z358" s="42">
        <v>51.5</v>
      </c>
      <c r="AB358" s="42" t="str">
        <f t="shared" si="193"/>
        <v>IND/BOS</v>
      </c>
      <c r="AC358" s="42">
        <f t="shared" si="194"/>
        <v>4</v>
      </c>
      <c r="AD358" s="42">
        <f t="shared" si="195"/>
        <v>0</v>
      </c>
    </row>
    <row r="359" spans="1:30" ht="17.100000000000001" x14ac:dyDescent="0.45">
      <c r="A359" s="42">
        <v>191212</v>
      </c>
      <c r="B359" s="44">
        <v>0.375</v>
      </c>
      <c r="C359" s="42" t="s">
        <v>424</v>
      </c>
      <c r="D359" s="42" t="s">
        <v>419</v>
      </c>
      <c r="E359" s="42">
        <v>9</v>
      </c>
      <c r="F359" s="42">
        <v>29</v>
      </c>
      <c r="G359" s="42">
        <v>27</v>
      </c>
      <c r="H359" s="42">
        <v>22</v>
      </c>
      <c r="I359" s="42"/>
      <c r="J359" s="42">
        <v>26</v>
      </c>
      <c r="K359" s="42">
        <v>25</v>
      </c>
      <c r="L359" s="42">
        <v>18</v>
      </c>
      <c r="M359" s="42">
        <v>27</v>
      </c>
      <c r="N359" s="42" t="s">
        <v>427</v>
      </c>
      <c r="O359" s="42">
        <f t="shared" si="183"/>
        <v>87</v>
      </c>
      <c r="P359" s="42">
        <f t="shared" si="184"/>
        <v>96</v>
      </c>
      <c r="Q359" s="42" t="str">
        <f t="shared" si="185"/>
        <v>HL</v>
      </c>
      <c r="R359" s="42" t="str">
        <f t="shared" si="186"/>
        <v>HW</v>
      </c>
      <c r="S359" s="42" t="str">
        <f t="shared" si="187"/>
        <v>HW</v>
      </c>
      <c r="T359" s="42" t="str">
        <f t="shared" si="188"/>
        <v>HL</v>
      </c>
      <c r="U359" s="42" t="str">
        <f t="shared" si="189"/>
        <v>U</v>
      </c>
      <c r="V359" s="42" t="str">
        <f t="shared" si="190"/>
        <v>U</v>
      </c>
      <c r="W359" s="42" t="str">
        <f t="shared" si="191"/>
        <v>U</v>
      </c>
      <c r="X359" s="42" t="str">
        <f t="shared" si="192"/>
        <v>U</v>
      </c>
      <c r="Z359" s="42">
        <v>55</v>
      </c>
      <c r="AB359" s="42" t="str">
        <f t="shared" si="193"/>
        <v>ORL/LAL</v>
      </c>
      <c r="AC359" s="42">
        <f t="shared" si="194"/>
        <v>0</v>
      </c>
      <c r="AD359" s="42">
        <f t="shared" si="195"/>
        <v>4</v>
      </c>
    </row>
    <row r="360" spans="1:30" ht="17.100000000000001" x14ac:dyDescent="0.45">
      <c r="A360" s="42">
        <v>191212</v>
      </c>
      <c r="B360" s="44">
        <v>0.375</v>
      </c>
      <c r="C360" s="42" t="s">
        <v>413</v>
      </c>
      <c r="D360" s="42" t="s">
        <v>415</v>
      </c>
      <c r="E360" s="42">
        <v>32</v>
      </c>
      <c r="F360" s="42">
        <v>14</v>
      </c>
      <c r="G360" s="42">
        <v>25</v>
      </c>
      <c r="H360" s="42">
        <v>21</v>
      </c>
      <c r="I360" s="42"/>
      <c r="J360" s="42">
        <v>27</v>
      </c>
      <c r="K360" s="42">
        <v>37</v>
      </c>
      <c r="L360" s="42">
        <v>24</v>
      </c>
      <c r="M360" s="42">
        <v>24</v>
      </c>
      <c r="N360" s="42" t="s">
        <v>427</v>
      </c>
      <c r="O360" s="42">
        <f t="shared" si="183"/>
        <v>92</v>
      </c>
      <c r="P360" s="42">
        <f t="shared" si="184"/>
        <v>112</v>
      </c>
      <c r="Q360" s="42" t="str">
        <f t="shared" si="185"/>
        <v>HW</v>
      </c>
      <c r="R360" s="42" t="str">
        <f t="shared" si="186"/>
        <v>HL</v>
      </c>
      <c r="S360" s="42" t="str">
        <f t="shared" si="187"/>
        <v>HW</v>
      </c>
      <c r="T360" s="42" t="str">
        <f t="shared" si="188"/>
        <v>HL</v>
      </c>
      <c r="U360" s="42" t="str">
        <f t="shared" si="189"/>
        <v>O</v>
      </c>
      <c r="V360" s="42" t="str">
        <f t="shared" si="190"/>
        <v>U</v>
      </c>
      <c r="W360" s="42" t="str">
        <f t="shared" si="191"/>
        <v>U</v>
      </c>
      <c r="X360" s="42" t="str">
        <f t="shared" si="192"/>
        <v>U</v>
      </c>
      <c r="Z360" s="42">
        <v>57</v>
      </c>
      <c r="AB360" s="42" t="str">
        <f t="shared" si="193"/>
        <v>TOR/LAC</v>
      </c>
      <c r="AC360" s="42">
        <f t="shared" si="194"/>
        <v>1</v>
      </c>
      <c r="AD360" s="42">
        <f t="shared" si="195"/>
        <v>3</v>
      </c>
    </row>
    <row r="361" spans="1:30" ht="17.100000000000001" x14ac:dyDescent="0.45">
      <c r="A361" s="42">
        <v>191212</v>
      </c>
      <c r="B361" s="44">
        <v>0.39583333333333331</v>
      </c>
      <c r="C361" s="42" t="s">
        <v>407</v>
      </c>
      <c r="D361" s="42" t="s">
        <v>409</v>
      </c>
      <c r="E361" s="42">
        <v>34</v>
      </c>
      <c r="F361" s="42">
        <v>30</v>
      </c>
      <c r="G361" s="42">
        <v>22</v>
      </c>
      <c r="H361" s="42">
        <v>22</v>
      </c>
      <c r="I361" s="42"/>
      <c r="J361" s="42">
        <v>26</v>
      </c>
      <c r="K361" s="42">
        <v>27</v>
      </c>
      <c r="L361" s="42">
        <v>31</v>
      </c>
      <c r="M361" s="42">
        <v>29</v>
      </c>
      <c r="N361" s="42" t="s">
        <v>427</v>
      </c>
      <c r="O361" s="42">
        <f t="shared" si="183"/>
        <v>108</v>
      </c>
      <c r="P361" s="42">
        <f t="shared" si="184"/>
        <v>113</v>
      </c>
      <c r="Q361" s="42" t="str">
        <f t="shared" si="185"/>
        <v>HW</v>
      </c>
      <c r="R361" s="42" t="str">
        <f t="shared" si="186"/>
        <v>HW</v>
      </c>
      <c r="S361" s="42" t="str">
        <f t="shared" si="187"/>
        <v>HL</v>
      </c>
      <c r="T361" s="42" t="str">
        <f t="shared" si="188"/>
        <v>HL</v>
      </c>
      <c r="U361" s="42" t="str">
        <f t="shared" si="189"/>
        <v>O</v>
      </c>
      <c r="V361" s="42" t="str">
        <f t="shared" si="190"/>
        <v>O</v>
      </c>
      <c r="W361" s="42" t="str">
        <f t="shared" si="191"/>
        <v>U</v>
      </c>
      <c r="X361" s="42" t="str">
        <f t="shared" si="192"/>
        <v>U</v>
      </c>
      <c r="Z361" s="42">
        <v>55.5</v>
      </c>
      <c r="AB361" s="42" t="str">
        <f t="shared" si="193"/>
        <v>BKN/CHA</v>
      </c>
      <c r="AC361" s="42">
        <f t="shared" si="194"/>
        <v>2</v>
      </c>
      <c r="AD361" s="42">
        <f t="shared" si="195"/>
        <v>2</v>
      </c>
    </row>
    <row r="362" spans="1:30" ht="17.100000000000001" x14ac:dyDescent="0.45">
      <c r="A362" s="42">
        <v>191212</v>
      </c>
      <c r="B362" s="44">
        <v>0.41666666666666669</v>
      </c>
      <c r="C362" s="42" t="s">
        <v>412</v>
      </c>
      <c r="D362" s="42" t="s">
        <v>410</v>
      </c>
      <c r="E362" s="42">
        <v>37</v>
      </c>
      <c r="F362" s="42">
        <v>29</v>
      </c>
      <c r="G362" s="42">
        <v>40</v>
      </c>
      <c r="H362" s="42">
        <v>30</v>
      </c>
      <c r="I362" s="42"/>
      <c r="J362" s="42">
        <v>33</v>
      </c>
      <c r="K362" s="42">
        <v>19</v>
      </c>
      <c r="L362" s="42">
        <v>35</v>
      </c>
      <c r="M362" s="42">
        <v>15</v>
      </c>
      <c r="N362" s="42" t="s">
        <v>427</v>
      </c>
      <c r="O362" s="42">
        <f t="shared" si="183"/>
        <v>136</v>
      </c>
      <c r="P362" s="42">
        <f t="shared" si="184"/>
        <v>102</v>
      </c>
      <c r="Q362" s="42" t="str">
        <f t="shared" si="185"/>
        <v>HW</v>
      </c>
      <c r="R362" s="42" t="str">
        <f t="shared" si="186"/>
        <v>HW</v>
      </c>
      <c r="S362" s="42" t="str">
        <f t="shared" si="187"/>
        <v>HW</v>
      </c>
      <c r="T362" s="42" t="str">
        <f t="shared" si="188"/>
        <v>HW</v>
      </c>
      <c r="U362" s="42" t="str">
        <f t="shared" si="189"/>
        <v>O</v>
      </c>
      <c r="V362" s="42" t="str">
        <f t="shared" si="190"/>
        <v>U</v>
      </c>
      <c r="W362" s="42" t="str">
        <f t="shared" si="191"/>
        <v>O</v>
      </c>
      <c r="X362" s="42" t="str">
        <f t="shared" si="192"/>
        <v>U</v>
      </c>
      <c r="Z362" s="42">
        <v>57</v>
      </c>
      <c r="AB362" s="42" t="str">
        <f t="shared" si="193"/>
        <v>CHI/ATL</v>
      </c>
      <c r="AC362" s="42">
        <f t="shared" si="194"/>
        <v>2</v>
      </c>
      <c r="AD362" s="42">
        <f t="shared" si="195"/>
        <v>2</v>
      </c>
    </row>
    <row r="363" spans="1:30" ht="17.100000000000001" x14ac:dyDescent="0.45">
      <c r="A363" s="42">
        <v>191212</v>
      </c>
      <c r="B363" s="44">
        <v>0.41666666666666669</v>
      </c>
      <c r="C363" s="42" t="s">
        <v>420</v>
      </c>
      <c r="D363" s="42" t="s">
        <v>405</v>
      </c>
      <c r="E363" s="42">
        <v>23</v>
      </c>
      <c r="F363" s="42">
        <v>36</v>
      </c>
      <c r="G363" s="42">
        <v>24</v>
      </c>
      <c r="H363" s="42">
        <v>33</v>
      </c>
      <c r="I363" s="42"/>
      <c r="J363" s="42">
        <v>25</v>
      </c>
      <c r="K363" s="42">
        <v>34</v>
      </c>
      <c r="L363" s="42">
        <v>38</v>
      </c>
      <c r="M363" s="42">
        <v>30</v>
      </c>
      <c r="N363" s="42" t="s">
        <v>427</v>
      </c>
      <c r="O363" s="42">
        <f t="shared" si="183"/>
        <v>116</v>
      </c>
      <c r="P363" s="42">
        <f t="shared" si="184"/>
        <v>127</v>
      </c>
      <c r="Q363" s="42" t="str">
        <f t="shared" si="185"/>
        <v>HL</v>
      </c>
      <c r="R363" s="42" t="str">
        <f t="shared" si="186"/>
        <v>HW</v>
      </c>
      <c r="S363" s="42" t="str">
        <f t="shared" si="187"/>
        <v>HL</v>
      </c>
      <c r="T363" s="42" t="str">
        <f t="shared" si="188"/>
        <v>HW</v>
      </c>
      <c r="U363" s="42" t="str">
        <f t="shared" si="189"/>
        <v>U</v>
      </c>
      <c r="V363" s="42" t="str">
        <f t="shared" si="190"/>
        <v>O</v>
      </c>
      <c r="W363" s="42" t="str">
        <f t="shared" si="191"/>
        <v>O</v>
      </c>
      <c r="X363" s="42" t="str">
        <f t="shared" si="192"/>
        <v>O</v>
      </c>
      <c r="Z363" s="42">
        <v>54</v>
      </c>
      <c r="AB363" s="42" t="str">
        <f t="shared" si="193"/>
        <v>MIN/UTA</v>
      </c>
      <c r="AC363" s="42">
        <f t="shared" si="194"/>
        <v>3</v>
      </c>
      <c r="AD363" s="42">
        <f t="shared" si="195"/>
        <v>1</v>
      </c>
    </row>
    <row r="364" spans="1:30" ht="17.100000000000001" x14ac:dyDescent="0.45">
      <c r="A364" s="42">
        <v>191212</v>
      </c>
      <c r="B364" s="44">
        <v>0.45833333333333331</v>
      </c>
      <c r="C364" s="42" t="s">
        <v>404</v>
      </c>
      <c r="D364" s="42" t="s">
        <v>406</v>
      </c>
      <c r="E364" s="42">
        <v>19</v>
      </c>
      <c r="F364" s="42">
        <v>32</v>
      </c>
      <c r="G364" s="42">
        <v>28</v>
      </c>
      <c r="H364" s="42">
        <v>29</v>
      </c>
      <c r="I364" s="42"/>
      <c r="J364" s="42">
        <v>27</v>
      </c>
      <c r="K364" s="42">
        <v>24</v>
      </c>
      <c r="L364" s="42">
        <v>33</v>
      </c>
      <c r="M364" s="42">
        <v>31</v>
      </c>
      <c r="N364" s="42" t="s">
        <v>427</v>
      </c>
      <c r="O364" s="42">
        <f t="shared" si="183"/>
        <v>108</v>
      </c>
      <c r="P364" s="42">
        <f t="shared" si="184"/>
        <v>115</v>
      </c>
      <c r="Q364" s="42" t="str">
        <f t="shared" si="185"/>
        <v>HL</v>
      </c>
      <c r="R364" s="42" t="str">
        <f t="shared" si="186"/>
        <v>HW</v>
      </c>
      <c r="S364" s="42" t="str">
        <f t="shared" si="187"/>
        <v>HL</v>
      </c>
      <c r="T364" s="42" t="str">
        <f t="shared" si="188"/>
        <v>HL</v>
      </c>
      <c r="U364" s="42" t="str">
        <f t="shared" si="189"/>
        <v>U</v>
      </c>
      <c r="V364" s="42" t="str">
        <f t="shared" si="190"/>
        <v>U</v>
      </c>
      <c r="W364" s="42" t="str">
        <f t="shared" si="191"/>
        <v>O</v>
      </c>
      <c r="X364" s="42" t="str">
        <f t="shared" si="192"/>
        <v>O</v>
      </c>
      <c r="Z364" s="42">
        <v>57</v>
      </c>
      <c r="AB364" s="42" t="str">
        <f t="shared" si="193"/>
        <v>PHO/MEM</v>
      </c>
      <c r="AC364" s="42">
        <f t="shared" si="194"/>
        <v>2</v>
      </c>
      <c r="AD364" s="42">
        <f t="shared" si="195"/>
        <v>2</v>
      </c>
    </row>
    <row r="365" spans="1:30" ht="17.100000000000001" x14ac:dyDescent="0.45">
      <c r="A365" s="42">
        <v>191212</v>
      </c>
      <c r="B365" s="44">
        <v>0.47916666666666669</v>
      </c>
      <c r="C365" s="42" t="s">
        <v>423</v>
      </c>
      <c r="D365" s="42" t="s">
        <v>398</v>
      </c>
      <c r="E365" s="42">
        <v>35</v>
      </c>
      <c r="F365" s="42">
        <v>34</v>
      </c>
      <c r="G365" s="42">
        <v>36</v>
      </c>
      <c r="H365" s="42">
        <v>22</v>
      </c>
      <c r="I365" s="42"/>
      <c r="J365" s="42">
        <v>20</v>
      </c>
      <c r="K365" s="42">
        <v>26</v>
      </c>
      <c r="L365" s="42">
        <v>40</v>
      </c>
      <c r="M365" s="42">
        <v>26</v>
      </c>
      <c r="N365" s="42" t="s">
        <v>427</v>
      </c>
      <c r="O365" s="42">
        <f t="shared" si="183"/>
        <v>127</v>
      </c>
      <c r="P365" s="42">
        <f t="shared" si="184"/>
        <v>112</v>
      </c>
      <c r="Q365" s="42" t="str">
        <f t="shared" si="185"/>
        <v>HW</v>
      </c>
      <c r="R365" s="42" t="str">
        <f t="shared" si="186"/>
        <v>HW</v>
      </c>
      <c r="S365" s="42" t="str">
        <f t="shared" si="187"/>
        <v>HL</v>
      </c>
      <c r="T365" s="42" t="str">
        <f t="shared" si="188"/>
        <v>HL</v>
      </c>
      <c r="U365" s="42" t="str">
        <f t="shared" si="189"/>
        <v>U</v>
      </c>
      <c r="V365" s="42" t="str">
        <f t="shared" si="190"/>
        <v>T</v>
      </c>
      <c r="W365" s="42" t="str">
        <f t="shared" si="191"/>
        <v>O</v>
      </c>
      <c r="X365" s="42" t="str">
        <f t="shared" si="192"/>
        <v>U</v>
      </c>
      <c r="Z365" s="42">
        <v>60</v>
      </c>
      <c r="AB365" s="42" t="str">
        <f t="shared" si="193"/>
        <v>MIL/NO</v>
      </c>
      <c r="AC365" s="42">
        <f t="shared" si="194"/>
        <v>1</v>
      </c>
      <c r="AD365" s="42">
        <f t="shared" si="195"/>
        <v>2</v>
      </c>
    </row>
    <row r="366" spans="1:30" ht="17.100000000000001" x14ac:dyDescent="0.45">
      <c r="A366" s="42">
        <v>191212</v>
      </c>
      <c r="B366" s="44">
        <v>0.5</v>
      </c>
      <c r="C366" s="42" t="s">
        <v>416</v>
      </c>
      <c r="D366" s="42" t="s">
        <v>418</v>
      </c>
      <c r="E366" s="42">
        <v>23</v>
      </c>
      <c r="F366" s="42">
        <v>15</v>
      </c>
      <c r="G366" s="42">
        <v>31</v>
      </c>
      <c r="H366" s="42">
        <v>25</v>
      </c>
      <c r="I366" s="42"/>
      <c r="J366" s="42">
        <v>18</v>
      </c>
      <c r="K366" s="42">
        <v>29</v>
      </c>
      <c r="L366" s="42">
        <v>24</v>
      </c>
      <c r="M366" s="42">
        <v>22</v>
      </c>
      <c r="N366" s="42" t="s">
        <v>427</v>
      </c>
      <c r="O366" s="42">
        <f t="shared" si="183"/>
        <v>94</v>
      </c>
      <c r="P366" s="42">
        <f t="shared" si="184"/>
        <v>93</v>
      </c>
      <c r="Q366" s="42" t="str">
        <f t="shared" si="185"/>
        <v>HW</v>
      </c>
      <c r="R366" s="42" t="str">
        <f t="shared" si="186"/>
        <v>HL</v>
      </c>
      <c r="S366" s="42" t="str">
        <f t="shared" si="187"/>
        <v>HW</v>
      </c>
      <c r="T366" s="42" t="str">
        <f t="shared" si="188"/>
        <v>HW</v>
      </c>
      <c r="U366" s="42" t="str">
        <f t="shared" si="189"/>
        <v>U</v>
      </c>
      <c r="V366" s="42" t="str">
        <f t="shared" si="190"/>
        <v>U</v>
      </c>
      <c r="W366" s="42" t="str">
        <f t="shared" si="191"/>
        <v>O</v>
      </c>
      <c r="X366" s="42" t="str">
        <f t="shared" si="192"/>
        <v>U</v>
      </c>
      <c r="Z366" s="42">
        <v>53.5</v>
      </c>
      <c r="AB366" s="42" t="str">
        <f t="shared" si="193"/>
        <v>SAC/OKC</v>
      </c>
      <c r="AC366" s="42">
        <f t="shared" si="194"/>
        <v>1</v>
      </c>
      <c r="AD366" s="42">
        <f t="shared" si="195"/>
        <v>3</v>
      </c>
    </row>
    <row r="367" spans="1:30" ht="17.100000000000001" x14ac:dyDescent="0.45">
      <c r="A367" s="42">
        <v>191212</v>
      </c>
      <c r="B367" s="44">
        <v>0.52083333333333337</v>
      </c>
      <c r="C367" s="42" t="s">
        <v>425</v>
      </c>
      <c r="D367" s="42" t="s">
        <v>399</v>
      </c>
      <c r="E367" s="42">
        <v>20</v>
      </c>
      <c r="F367" s="42">
        <v>30</v>
      </c>
      <c r="G367" s="42">
        <v>30</v>
      </c>
      <c r="H367" s="42">
        <v>32</v>
      </c>
      <c r="I367" s="42">
        <v>10</v>
      </c>
      <c r="J367" s="42">
        <v>30</v>
      </c>
      <c r="K367" s="42">
        <v>38</v>
      </c>
      <c r="L367" s="42">
        <v>19</v>
      </c>
      <c r="M367" s="42">
        <v>25</v>
      </c>
      <c r="N367" s="42">
        <v>12</v>
      </c>
      <c r="O367" s="42">
        <f t="shared" si="183"/>
        <v>122</v>
      </c>
      <c r="P367" s="42">
        <f t="shared" si="184"/>
        <v>124</v>
      </c>
      <c r="Q367" s="42" t="str">
        <f t="shared" si="185"/>
        <v>HL</v>
      </c>
      <c r="R367" s="42" t="str">
        <f t="shared" si="186"/>
        <v>HL</v>
      </c>
      <c r="S367" s="42" t="str">
        <f t="shared" si="187"/>
        <v>HW</v>
      </c>
      <c r="T367" s="42" t="str">
        <f t="shared" si="188"/>
        <v>HW</v>
      </c>
      <c r="U367" s="42" t="str">
        <f t="shared" si="189"/>
        <v>U</v>
      </c>
      <c r="V367" s="42" t="str">
        <f t="shared" si="190"/>
        <v>O</v>
      </c>
      <c r="W367" s="42" t="str">
        <f t="shared" si="191"/>
        <v>U</v>
      </c>
      <c r="X367" s="42" t="str">
        <f t="shared" si="192"/>
        <v>O</v>
      </c>
      <c r="Z367" s="42">
        <v>54</v>
      </c>
      <c r="AB367" s="42" t="str">
        <f t="shared" si="193"/>
        <v>GS/NYK</v>
      </c>
      <c r="AC367" s="42">
        <f t="shared" si="194"/>
        <v>2</v>
      </c>
      <c r="AD367" s="42">
        <f t="shared" si="195"/>
        <v>2</v>
      </c>
    </row>
    <row r="368" spans="1:30" ht="17.100000000000001" x14ac:dyDescent="0.45">
      <c r="A368" s="42">
        <v>191213</v>
      </c>
      <c r="B368" s="44">
        <v>0.41666666666666669</v>
      </c>
      <c r="C368" s="42" t="s">
        <v>421</v>
      </c>
      <c r="D368" s="42" t="s">
        <v>401</v>
      </c>
      <c r="E368" s="42">
        <v>34</v>
      </c>
      <c r="F368" s="42">
        <v>25</v>
      </c>
      <c r="G368" s="42">
        <v>21</v>
      </c>
      <c r="H368" s="42">
        <v>29</v>
      </c>
      <c r="I368" s="42"/>
      <c r="J368" s="42">
        <v>28</v>
      </c>
      <c r="K368" s="42">
        <v>28</v>
      </c>
      <c r="L368" s="42">
        <v>25</v>
      </c>
      <c r="M368" s="42">
        <v>34</v>
      </c>
      <c r="N368" s="42" t="s">
        <v>427</v>
      </c>
      <c r="O368" s="42">
        <f t="shared" si="183"/>
        <v>109</v>
      </c>
      <c r="P368" s="42">
        <f t="shared" si="184"/>
        <v>115</v>
      </c>
      <c r="Q368" s="42" t="str">
        <f t="shared" si="185"/>
        <v>HW</v>
      </c>
      <c r="R368" s="42" t="str">
        <f t="shared" si="186"/>
        <v>HL</v>
      </c>
      <c r="S368" s="42" t="str">
        <f t="shared" si="187"/>
        <v>HL</v>
      </c>
      <c r="T368" s="42" t="str">
        <f t="shared" si="188"/>
        <v>HL</v>
      </c>
      <c r="U368" s="42" t="str">
        <f t="shared" si="189"/>
        <v>O</v>
      </c>
      <c r="V368" s="42" t="str">
        <f t="shared" si="190"/>
        <v>O</v>
      </c>
      <c r="W368" s="42" t="str">
        <f t="shared" si="191"/>
        <v>U</v>
      </c>
      <c r="X368" s="42" t="str">
        <f t="shared" si="192"/>
        <v>O</v>
      </c>
      <c r="Z368" s="42">
        <v>52</v>
      </c>
      <c r="AB368" s="42" t="str">
        <f t="shared" si="193"/>
        <v>BOS/PHI</v>
      </c>
      <c r="AC368" s="42">
        <f t="shared" si="194"/>
        <v>3</v>
      </c>
      <c r="AD368" s="42">
        <f t="shared" si="195"/>
        <v>1</v>
      </c>
    </row>
    <row r="369" spans="1:30" ht="17.100000000000001" x14ac:dyDescent="0.45">
      <c r="A369" s="42">
        <v>191213</v>
      </c>
      <c r="B369" s="44">
        <v>0.4375</v>
      </c>
      <c r="C369" s="42" t="s">
        <v>426</v>
      </c>
      <c r="D369" s="42" t="s">
        <v>402</v>
      </c>
      <c r="E369" s="42">
        <v>19</v>
      </c>
      <c r="F369" s="42">
        <v>24</v>
      </c>
      <c r="G369" s="42">
        <v>25</v>
      </c>
      <c r="H369" s="42">
        <v>35</v>
      </c>
      <c r="I369" s="42">
        <v>6</v>
      </c>
      <c r="J369" s="42">
        <v>28</v>
      </c>
      <c r="K369" s="42">
        <v>25</v>
      </c>
      <c r="L369" s="42">
        <v>25</v>
      </c>
      <c r="M369" s="42">
        <v>25</v>
      </c>
      <c r="N369" s="42">
        <v>14</v>
      </c>
      <c r="O369" s="42">
        <f t="shared" si="183"/>
        <v>109</v>
      </c>
      <c r="P369" s="42">
        <f t="shared" si="184"/>
        <v>117</v>
      </c>
      <c r="Q369" s="42" t="str">
        <f t="shared" si="185"/>
        <v>HL</v>
      </c>
      <c r="R369" s="42" t="str">
        <f t="shared" si="186"/>
        <v>HL</v>
      </c>
      <c r="S369" s="42" t="str">
        <f t="shared" si="187"/>
        <v>TT</v>
      </c>
      <c r="T369" s="42" t="str">
        <f t="shared" si="188"/>
        <v>HW</v>
      </c>
      <c r="U369" s="42" t="str">
        <f t="shared" si="189"/>
        <v>U</v>
      </c>
      <c r="V369" s="42" t="str">
        <f t="shared" si="190"/>
        <v>U</v>
      </c>
      <c r="W369" s="42" t="str">
        <f t="shared" si="191"/>
        <v>U</v>
      </c>
      <c r="X369" s="42" t="str">
        <f t="shared" si="192"/>
        <v>O</v>
      </c>
      <c r="Z369" s="42">
        <v>54</v>
      </c>
      <c r="AB369" s="42" t="str">
        <f t="shared" si="193"/>
        <v>SAS/CLE</v>
      </c>
      <c r="AC369" s="42">
        <f t="shared" si="194"/>
        <v>1</v>
      </c>
      <c r="AD369" s="42">
        <f t="shared" si="195"/>
        <v>3</v>
      </c>
    </row>
    <row r="370" spans="1:30" ht="17.100000000000001" x14ac:dyDescent="0.45">
      <c r="A370" s="42">
        <v>191213</v>
      </c>
      <c r="B370" s="44">
        <v>0.45833333333333331</v>
      </c>
      <c r="C370" s="42" t="s">
        <v>422</v>
      </c>
      <c r="D370" s="42" t="s">
        <v>397</v>
      </c>
      <c r="E370" s="42">
        <v>29</v>
      </c>
      <c r="F370" s="42">
        <v>29</v>
      </c>
      <c r="G370" s="42">
        <v>27</v>
      </c>
      <c r="H370" s="42">
        <v>26</v>
      </c>
      <c r="I370" s="42"/>
      <c r="J370" s="42">
        <v>34</v>
      </c>
      <c r="K370" s="42">
        <v>31</v>
      </c>
      <c r="L370" s="42">
        <v>30</v>
      </c>
      <c r="M370" s="42">
        <v>27</v>
      </c>
      <c r="N370" s="42" t="s">
        <v>427</v>
      </c>
      <c r="O370" s="42">
        <f t="shared" si="183"/>
        <v>111</v>
      </c>
      <c r="P370" s="42">
        <f t="shared" si="184"/>
        <v>122</v>
      </c>
      <c r="Q370" s="42" t="str">
        <f t="shared" si="185"/>
        <v>HL</v>
      </c>
      <c r="R370" s="42" t="str">
        <f t="shared" si="186"/>
        <v>HL</v>
      </c>
      <c r="S370" s="42" t="str">
        <f t="shared" si="187"/>
        <v>HL</v>
      </c>
      <c r="T370" s="42" t="str">
        <f t="shared" si="188"/>
        <v>HL</v>
      </c>
      <c r="U370" s="42" t="str">
        <f t="shared" si="189"/>
        <v>O</v>
      </c>
      <c r="V370" s="42" t="str">
        <f t="shared" si="190"/>
        <v>O</v>
      </c>
      <c r="W370" s="42" t="str">
        <f t="shared" si="191"/>
        <v>O</v>
      </c>
      <c r="X370" s="42" t="str">
        <f t="shared" si="192"/>
        <v>U</v>
      </c>
      <c r="Z370" s="42">
        <v>56.5</v>
      </c>
      <c r="AB370" s="42" t="str">
        <f t="shared" si="193"/>
        <v>DET/DAL</v>
      </c>
      <c r="AC370" s="42">
        <f t="shared" si="194"/>
        <v>3</v>
      </c>
      <c r="AD370" s="42">
        <f t="shared" si="195"/>
        <v>1</v>
      </c>
    </row>
    <row r="371" spans="1:30" ht="17.100000000000001" x14ac:dyDescent="0.45">
      <c r="A371" s="42">
        <v>191213</v>
      </c>
      <c r="B371" s="44">
        <v>0.52083333333333337</v>
      </c>
      <c r="C371" s="42" t="s">
        <v>408</v>
      </c>
      <c r="D371" s="42" t="s">
        <v>417</v>
      </c>
      <c r="E371" s="42">
        <v>33</v>
      </c>
      <c r="F371" s="42">
        <v>29</v>
      </c>
      <c r="G371" s="42">
        <v>27</v>
      </c>
      <c r="H371" s="42">
        <v>25</v>
      </c>
      <c r="I371" s="42"/>
      <c r="J371" s="42">
        <v>26</v>
      </c>
      <c r="K371" s="42">
        <v>27</v>
      </c>
      <c r="L371" s="42">
        <v>25</v>
      </c>
      <c r="M371" s="42">
        <v>21</v>
      </c>
      <c r="N371" s="42" t="s">
        <v>427</v>
      </c>
      <c r="O371" s="42">
        <f t="shared" si="183"/>
        <v>114</v>
      </c>
      <c r="P371" s="42">
        <f t="shared" si="184"/>
        <v>99</v>
      </c>
      <c r="Q371" s="42" t="str">
        <f t="shared" si="185"/>
        <v>HW</v>
      </c>
      <c r="R371" s="42" t="str">
        <f t="shared" si="186"/>
        <v>HW</v>
      </c>
      <c r="S371" s="42" t="str">
        <f t="shared" si="187"/>
        <v>HW</v>
      </c>
      <c r="T371" s="42" t="str">
        <f t="shared" si="188"/>
        <v>HW</v>
      </c>
      <c r="U371" s="42" t="str">
        <f t="shared" si="189"/>
        <v>O</v>
      </c>
      <c r="V371" s="42" t="str">
        <f t="shared" si="190"/>
        <v>O</v>
      </c>
      <c r="W371" s="42" t="str">
        <f t="shared" si="191"/>
        <v>U</v>
      </c>
      <c r="X371" s="42" t="str">
        <f t="shared" si="192"/>
        <v>U</v>
      </c>
      <c r="Z371" s="42">
        <v>54.5</v>
      </c>
      <c r="AB371" s="42" t="str">
        <f t="shared" si="193"/>
        <v>DEN/POR</v>
      </c>
      <c r="AC371" s="42">
        <f t="shared" si="194"/>
        <v>2</v>
      </c>
      <c r="AD371" s="42">
        <f t="shared" si="195"/>
        <v>2</v>
      </c>
    </row>
    <row r="372" spans="1:30" ht="17.100000000000001" x14ac:dyDescent="0.45">
      <c r="A372" s="42">
        <v>191214</v>
      </c>
      <c r="B372" s="44">
        <v>0.375</v>
      </c>
      <c r="C372" s="42" t="s">
        <v>411</v>
      </c>
      <c r="D372" s="42" t="s">
        <v>419</v>
      </c>
      <c r="E372" s="42">
        <v>29</v>
      </c>
      <c r="F372" s="42">
        <v>30</v>
      </c>
      <c r="G372" s="42">
        <v>26</v>
      </c>
      <c r="H372" s="42">
        <v>25</v>
      </c>
      <c r="I372" s="42"/>
      <c r="J372" s="42">
        <v>30</v>
      </c>
      <c r="K372" s="42">
        <v>21</v>
      </c>
      <c r="L372" s="42">
        <v>37</v>
      </c>
      <c r="M372" s="42">
        <v>25</v>
      </c>
      <c r="N372" s="42" t="s">
        <v>427</v>
      </c>
      <c r="O372" s="42">
        <f t="shared" si="183"/>
        <v>110</v>
      </c>
      <c r="P372" s="42">
        <f t="shared" si="184"/>
        <v>113</v>
      </c>
      <c r="Q372" s="42" t="str">
        <f t="shared" si="185"/>
        <v>HL</v>
      </c>
      <c r="R372" s="42" t="str">
        <f t="shared" si="186"/>
        <v>HW</v>
      </c>
      <c r="S372" s="42" t="str">
        <f t="shared" si="187"/>
        <v>HL</v>
      </c>
      <c r="T372" s="42" t="str">
        <f t="shared" si="188"/>
        <v>TT</v>
      </c>
      <c r="U372" s="42" t="str">
        <f t="shared" si="189"/>
        <v>O</v>
      </c>
      <c r="V372" s="42" t="str">
        <f t="shared" si="190"/>
        <v>U</v>
      </c>
      <c r="W372" s="42" t="str">
        <f t="shared" si="191"/>
        <v>O</v>
      </c>
      <c r="X372" s="42" t="str">
        <f t="shared" si="192"/>
        <v>U</v>
      </c>
      <c r="Z372" s="42">
        <v>55</v>
      </c>
      <c r="AB372" s="42" t="str">
        <f t="shared" si="193"/>
        <v>MIA/LAL</v>
      </c>
      <c r="AC372" s="42">
        <f t="shared" si="194"/>
        <v>2</v>
      </c>
      <c r="AD372" s="42">
        <f t="shared" si="195"/>
        <v>2</v>
      </c>
    </row>
    <row r="373" spans="1:30" ht="17.100000000000001" x14ac:dyDescent="0.45">
      <c r="A373" s="42">
        <v>191214</v>
      </c>
      <c r="B373" s="44">
        <v>0.375</v>
      </c>
      <c r="C373" s="42" t="s">
        <v>424</v>
      </c>
      <c r="D373" s="42" t="s">
        <v>403</v>
      </c>
      <c r="E373" s="42">
        <v>22</v>
      </c>
      <c r="F373" s="42">
        <v>33</v>
      </c>
      <c r="G373" s="42">
        <v>23</v>
      </c>
      <c r="H373" s="42">
        <v>29</v>
      </c>
      <c r="I373" s="42"/>
      <c r="J373" s="42">
        <v>28</v>
      </c>
      <c r="K373" s="42">
        <v>34</v>
      </c>
      <c r="L373" s="42">
        <v>34</v>
      </c>
      <c r="M373" s="42">
        <v>34</v>
      </c>
      <c r="N373" s="42" t="s">
        <v>427</v>
      </c>
      <c r="O373" s="42">
        <f t="shared" si="183"/>
        <v>107</v>
      </c>
      <c r="P373" s="42">
        <f t="shared" si="184"/>
        <v>130</v>
      </c>
      <c r="Q373" s="42" t="str">
        <f t="shared" si="185"/>
        <v>HL</v>
      </c>
      <c r="R373" s="42" t="str">
        <f t="shared" si="186"/>
        <v>HL</v>
      </c>
      <c r="S373" s="42" t="str">
        <f t="shared" si="187"/>
        <v>HL</v>
      </c>
      <c r="T373" s="42" t="str">
        <f t="shared" si="188"/>
        <v>HL</v>
      </c>
      <c r="U373" s="42" t="str">
        <f t="shared" si="189"/>
        <v>U</v>
      </c>
      <c r="V373" s="42" t="str">
        <f t="shared" si="190"/>
        <v>O</v>
      </c>
      <c r="W373" s="42" t="str">
        <f t="shared" si="191"/>
        <v>T</v>
      </c>
      <c r="X373" s="42" t="str">
        <f t="shared" si="192"/>
        <v>O</v>
      </c>
      <c r="Z373" s="42">
        <v>57</v>
      </c>
      <c r="AB373" s="42" t="str">
        <f t="shared" si="193"/>
        <v>ORL/HOU</v>
      </c>
      <c r="AC373" s="42">
        <f t="shared" si="194"/>
        <v>2</v>
      </c>
      <c r="AD373" s="42">
        <f t="shared" si="195"/>
        <v>1</v>
      </c>
    </row>
    <row r="374" spans="1:30" ht="17.100000000000001" x14ac:dyDescent="0.45">
      <c r="A374" s="42">
        <v>191214</v>
      </c>
      <c r="B374" s="44">
        <v>0.375</v>
      </c>
      <c r="C374" s="42" t="s">
        <v>401</v>
      </c>
      <c r="D374" s="42" t="s">
        <v>398</v>
      </c>
      <c r="E374" s="42">
        <v>39</v>
      </c>
      <c r="F374" s="42">
        <v>23</v>
      </c>
      <c r="G374" s="42">
        <v>30</v>
      </c>
      <c r="H374" s="42">
        <v>24</v>
      </c>
      <c r="I374" s="42"/>
      <c r="J374" s="42">
        <v>25</v>
      </c>
      <c r="K374" s="42">
        <v>32</v>
      </c>
      <c r="L374" s="42">
        <v>25</v>
      </c>
      <c r="M374" s="42">
        <v>27</v>
      </c>
      <c r="N374" s="42" t="s">
        <v>427</v>
      </c>
      <c r="O374" s="42">
        <f t="shared" si="183"/>
        <v>116</v>
      </c>
      <c r="P374" s="42">
        <f t="shared" si="184"/>
        <v>109</v>
      </c>
      <c r="Q374" s="42" t="str">
        <f t="shared" si="185"/>
        <v>HW</v>
      </c>
      <c r="R374" s="42" t="str">
        <f t="shared" si="186"/>
        <v>HL</v>
      </c>
      <c r="S374" s="42" t="str">
        <f t="shared" si="187"/>
        <v>HW</v>
      </c>
      <c r="T374" s="42" t="str">
        <f t="shared" si="188"/>
        <v>HL</v>
      </c>
      <c r="U374" s="42" t="str">
        <f t="shared" si="189"/>
        <v>O</v>
      </c>
      <c r="V374" s="42" t="str">
        <f t="shared" si="190"/>
        <v>U</v>
      </c>
      <c r="W374" s="42" t="str">
        <f t="shared" si="191"/>
        <v>U</v>
      </c>
      <c r="X374" s="42" t="str">
        <f t="shared" si="192"/>
        <v>U</v>
      </c>
      <c r="Z374" s="42">
        <v>57.5</v>
      </c>
      <c r="AB374" s="42" t="str">
        <f t="shared" si="193"/>
        <v>PHI/NO</v>
      </c>
      <c r="AC374" s="42">
        <f t="shared" si="194"/>
        <v>1</v>
      </c>
      <c r="AD374" s="42">
        <f t="shared" si="195"/>
        <v>3</v>
      </c>
    </row>
    <row r="375" spans="1:30" ht="17.100000000000001" x14ac:dyDescent="0.45">
      <c r="A375" s="42">
        <v>191214</v>
      </c>
      <c r="B375" s="44">
        <v>0.39583333333333331</v>
      </c>
      <c r="C375" s="42" t="s">
        <v>410</v>
      </c>
      <c r="D375" s="42" t="s">
        <v>400</v>
      </c>
      <c r="E375" s="42">
        <v>22</v>
      </c>
      <c r="F375" s="42">
        <v>26</v>
      </c>
      <c r="G375" s="42">
        <v>35</v>
      </c>
      <c r="H375" s="42">
        <v>17</v>
      </c>
      <c r="I375" s="42"/>
      <c r="J375" s="42">
        <v>29</v>
      </c>
      <c r="K375" s="42">
        <v>34</v>
      </c>
      <c r="L375" s="42">
        <v>23</v>
      </c>
      <c r="M375" s="42">
        <v>24</v>
      </c>
      <c r="N375" s="42" t="s">
        <v>427</v>
      </c>
      <c r="O375" s="42">
        <f t="shared" si="183"/>
        <v>100</v>
      </c>
      <c r="P375" s="42">
        <f t="shared" si="184"/>
        <v>110</v>
      </c>
      <c r="Q375" s="42" t="str">
        <f t="shared" si="185"/>
        <v>HL</v>
      </c>
      <c r="R375" s="42" t="str">
        <f t="shared" si="186"/>
        <v>HL</v>
      </c>
      <c r="S375" s="42" t="str">
        <f t="shared" si="187"/>
        <v>HW</v>
      </c>
      <c r="T375" s="42" t="str">
        <f t="shared" si="188"/>
        <v>HL</v>
      </c>
      <c r="U375" s="42" t="str">
        <f t="shared" si="189"/>
        <v>U</v>
      </c>
      <c r="V375" s="42" t="str">
        <f t="shared" si="190"/>
        <v>O</v>
      </c>
      <c r="W375" s="42" t="str">
        <f t="shared" si="191"/>
        <v>O</v>
      </c>
      <c r="X375" s="42" t="str">
        <f t="shared" si="192"/>
        <v>U</v>
      </c>
      <c r="Z375" s="42">
        <v>57.5</v>
      </c>
      <c r="AB375" s="42" t="str">
        <f t="shared" si="193"/>
        <v>ATL/IND</v>
      </c>
      <c r="AC375" s="42">
        <f t="shared" si="194"/>
        <v>2</v>
      </c>
      <c r="AD375" s="42">
        <f t="shared" si="195"/>
        <v>2</v>
      </c>
    </row>
    <row r="376" spans="1:30" ht="17.100000000000001" x14ac:dyDescent="0.45">
      <c r="A376" s="42">
        <v>191214</v>
      </c>
      <c r="B376" s="44">
        <v>0.41666666666666669</v>
      </c>
      <c r="C376" s="42" t="s">
        <v>412</v>
      </c>
      <c r="D376" s="42" t="s">
        <v>409</v>
      </c>
      <c r="E376" s="42">
        <v>15</v>
      </c>
      <c r="F376" s="42">
        <v>25</v>
      </c>
      <c r="G376" s="42">
        <v>10</v>
      </c>
      <c r="H376" s="42">
        <v>23</v>
      </c>
      <c r="I376" s="42"/>
      <c r="J376" s="42">
        <v>24</v>
      </c>
      <c r="K376" s="42">
        <v>20</v>
      </c>
      <c r="L376" s="42">
        <v>15</v>
      </c>
      <c r="M376" s="42">
        <v>24</v>
      </c>
      <c r="N376" s="42" t="s">
        <v>427</v>
      </c>
      <c r="O376" s="42">
        <f t="shared" si="183"/>
        <v>73</v>
      </c>
      <c r="P376" s="42">
        <f t="shared" si="184"/>
        <v>83</v>
      </c>
      <c r="Q376" s="42" t="str">
        <f t="shared" si="185"/>
        <v>HL</v>
      </c>
      <c r="R376" s="42" t="str">
        <f t="shared" si="186"/>
        <v>HW</v>
      </c>
      <c r="S376" s="42" t="str">
        <f t="shared" si="187"/>
        <v>HL</v>
      </c>
      <c r="T376" s="42" t="str">
        <f t="shared" si="188"/>
        <v>HL</v>
      </c>
      <c r="U376" s="42" t="str">
        <f t="shared" si="189"/>
        <v>U</v>
      </c>
      <c r="V376" s="42" t="str">
        <f t="shared" si="190"/>
        <v>U</v>
      </c>
      <c r="W376" s="42" t="str">
        <f t="shared" si="191"/>
        <v>U</v>
      </c>
      <c r="X376" s="42" t="str">
        <f t="shared" si="192"/>
        <v>U</v>
      </c>
      <c r="Z376" s="42">
        <v>55</v>
      </c>
      <c r="AB376" s="42" t="str">
        <f t="shared" si="193"/>
        <v>CHI/CHA</v>
      </c>
      <c r="AC376" s="42">
        <f t="shared" si="194"/>
        <v>0</v>
      </c>
      <c r="AD376" s="42">
        <f t="shared" si="195"/>
        <v>4</v>
      </c>
    </row>
    <row r="377" spans="1:30" ht="17.100000000000001" x14ac:dyDescent="0.45">
      <c r="A377" s="42">
        <v>191214</v>
      </c>
      <c r="B377" s="44">
        <v>0.41666666666666669</v>
      </c>
      <c r="C377" s="42" t="s">
        <v>406</v>
      </c>
      <c r="D377" s="42" t="s">
        <v>423</v>
      </c>
      <c r="E377" s="42">
        <v>29</v>
      </c>
      <c r="F377" s="42">
        <v>33</v>
      </c>
      <c r="G377" s="42">
        <v>33</v>
      </c>
      <c r="H377" s="42">
        <v>19</v>
      </c>
      <c r="I377" s="42"/>
      <c r="J377" s="42">
        <v>35</v>
      </c>
      <c r="K377" s="42">
        <v>29</v>
      </c>
      <c r="L377" s="42">
        <v>26</v>
      </c>
      <c r="M377" s="42">
        <v>37</v>
      </c>
      <c r="N377" s="42" t="s">
        <v>427</v>
      </c>
      <c r="O377" s="42">
        <f t="shared" si="183"/>
        <v>114</v>
      </c>
      <c r="P377" s="42">
        <f t="shared" si="184"/>
        <v>127</v>
      </c>
      <c r="Q377" s="42" t="str">
        <f t="shared" si="185"/>
        <v>HL</v>
      </c>
      <c r="R377" s="42" t="str">
        <f t="shared" si="186"/>
        <v>HW</v>
      </c>
      <c r="S377" s="42" t="str">
        <f t="shared" si="187"/>
        <v>HW</v>
      </c>
      <c r="T377" s="42" t="str">
        <f t="shared" si="188"/>
        <v>HL</v>
      </c>
      <c r="U377" s="42" t="str">
        <f t="shared" si="189"/>
        <v>O</v>
      </c>
      <c r="V377" s="42" t="str">
        <f t="shared" si="190"/>
        <v>O</v>
      </c>
      <c r="W377" s="42" t="str">
        <f t="shared" si="191"/>
        <v>O</v>
      </c>
      <c r="X377" s="42" t="str">
        <f t="shared" si="192"/>
        <v>U</v>
      </c>
      <c r="Z377" s="42">
        <v>56.5</v>
      </c>
      <c r="AB377" s="42" t="str">
        <f t="shared" si="193"/>
        <v>MEM/MIL</v>
      </c>
      <c r="AC377" s="42">
        <f t="shared" si="194"/>
        <v>3</v>
      </c>
      <c r="AD377" s="42">
        <f t="shared" si="195"/>
        <v>1</v>
      </c>
    </row>
    <row r="378" spans="1:30" ht="17.100000000000001" x14ac:dyDescent="0.45">
      <c r="A378" s="42">
        <v>191214</v>
      </c>
      <c r="B378" s="44">
        <v>0.45833333333333331</v>
      </c>
      <c r="C378" s="42" t="s">
        <v>405</v>
      </c>
      <c r="D378" s="42" t="s">
        <v>425</v>
      </c>
      <c r="E378" s="42">
        <v>22</v>
      </c>
      <c r="F378" s="42">
        <v>27</v>
      </c>
      <c r="G378" s="42">
        <v>37</v>
      </c>
      <c r="H378" s="42">
        <v>28</v>
      </c>
      <c r="I378" s="42"/>
      <c r="J378" s="42">
        <v>29</v>
      </c>
      <c r="K378" s="42">
        <v>27</v>
      </c>
      <c r="L378" s="42">
        <v>28</v>
      </c>
      <c r="M378" s="42">
        <v>22</v>
      </c>
      <c r="N378" s="42" t="s">
        <v>427</v>
      </c>
      <c r="O378" s="42">
        <f t="shared" si="183"/>
        <v>114</v>
      </c>
      <c r="P378" s="42">
        <f t="shared" si="184"/>
        <v>106</v>
      </c>
      <c r="Q378" s="42" t="str">
        <f t="shared" si="185"/>
        <v>HL</v>
      </c>
      <c r="R378" s="42" t="str">
        <f t="shared" si="186"/>
        <v>TT</v>
      </c>
      <c r="S378" s="42" t="str">
        <f t="shared" si="187"/>
        <v>HW</v>
      </c>
      <c r="T378" s="42" t="str">
        <f t="shared" si="188"/>
        <v>HW</v>
      </c>
      <c r="U378" s="42" t="str">
        <f t="shared" si="189"/>
        <v>U</v>
      </c>
      <c r="V378" s="42" t="str">
        <f t="shared" si="190"/>
        <v>U</v>
      </c>
      <c r="W378" s="42" t="str">
        <f t="shared" si="191"/>
        <v>O</v>
      </c>
      <c r="X378" s="42" t="str">
        <f t="shared" si="192"/>
        <v>U</v>
      </c>
      <c r="Z378" s="42">
        <v>54.5</v>
      </c>
      <c r="AB378" s="42" t="str">
        <f t="shared" si="193"/>
        <v>UTA/GS</v>
      </c>
      <c r="AC378" s="42">
        <f t="shared" si="194"/>
        <v>1</v>
      </c>
      <c r="AD378" s="42">
        <f t="shared" si="195"/>
        <v>3</v>
      </c>
    </row>
    <row r="379" spans="1:30" ht="17.100000000000001" x14ac:dyDescent="0.45">
      <c r="A379" s="42">
        <v>191214</v>
      </c>
      <c r="B379" s="44">
        <v>0.47916666666666669</v>
      </c>
      <c r="C379" s="42" t="s">
        <v>420</v>
      </c>
      <c r="D379" s="42" t="s">
        <v>415</v>
      </c>
      <c r="E379" s="42">
        <v>29</v>
      </c>
      <c r="F379" s="42">
        <v>29</v>
      </c>
      <c r="G379" s="42">
        <v>23</v>
      </c>
      <c r="H379" s="42">
        <v>36</v>
      </c>
      <c r="I379" s="42"/>
      <c r="J379" s="42">
        <v>33</v>
      </c>
      <c r="K379" s="42">
        <v>32</v>
      </c>
      <c r="L379" s="42">
        <v>37</v>
      </c>
      <c r="M379" s="42">
        <v>22</v>
      </c>
      <c r="N379" s="42" t="s">
        <v>427</v>
      </c>
      <c r="O379" s="42">
        <f t="shared" si="183"/>
        <v>117</v>
      </c>
      <c r="P379" s="42">
        <f t="shared" si="184"/>
        <v>124</v>
      </c>
      <c r="Q379" s="42" t="str">
        <f t="shared" si="185"/>
        <v>HL</v>
      </c>
      <c r="R379" s="42" t="str">
        <f t="shared" si="186"/>
        <v>HL</v>
      </c>
      <c r="S379" s="42" t="str">
        <f t="shared" si="187"/>
        <v>HL</v>
      </c>
      <c r="T379" s="42" t="str">
        <f t="shared" si="188"/>
        <v>HW</v>
      </c>
      <c r="U379" s="42" t="str">
        <f t="shared" si="189"/>
        <v>O</v>
      </c>
      <c r="V379" s="42" t="str">
        <f t="shared" si="190"/>
        <v>O</v>
      </c>
      <c r="W379" s="42" t="str">
        <f t="shared" si="191"/>
        <v>O</v>
      </c>
      <c r="X379" s="42" t="str">
        <f t="shared" si="192"/>
        <v>U</v>
      </c>
      <c r="Z379" s="42">
        <v>59</v>
      </c>
      <c r="AB379" s="42" t="str">
        <f t="shared" si="193"/>
        <v>MIN/LAC</v>
      </c>
      <c r="AC379" s="42">
        <f t="shared" si="194"/>
        <v>3</v>
      </c>
      <c r="AD379" s="42">
        <f t="shared" si="195"/>
        <v>1</v>
      </c>
    </row>
    <row r="380" spans="1:30" ht="17.100000000000001" x14ac:dyDescent="0.45">
      <c r="A380" s="42">
        <v>191214</v>
      </c>
      <c r="B380" s="44">
        <v>0.5</v>
      </c>
      <c r="C380" s="42" t="s">
        <v>416</v>
      </c>
      <c r="D380" s="42" t="s">
        <v>399</v>
      </c>
      <c r="E380" s="42">
        <v>32</v>
      </c>
      <c r="F380" s="42">
        <v>22</v>
      </c>
      <c r="G380" s="42">
        <v>26</v>
      </c>
      <c r="H380" s="42">
        <v>21</v>
      </c>
      <c r="I380" s="42"/>
      <c r="J380" s="42">
        <v>20</v>
      </c>
      <c r="K380" s="42">
        <v>25</v>
      </c>
      <c r="L380" s="42">
        <v>27</v>
      </c>
      <c r="M380" s="42">
        <v>31</v>
      </c>
      <c r="N380" s="42" t="s">
        <v>427</v>
      </c>
      <c r="O380" s="42">
        <f t="shared" si="183"/>
        <v>101</v>
      </c>
      <c r="P380" s="42">
        <f t="shared" si="184"/>
        <v>103</v>
      </c>
      <c r="Q380" s="42" t="str">
        <f t="shared" si="185"/>
        <v>HW</v>
      </c>
      <c r="R380" s="42" t="str">
        <f t="shared" si="186"/>
        <v>HL</v>
      </c>
      <c r="S380" s="42" t="str">
        <f t="shared" si="187"/>
        <v>HL</v>
      </c>
      <c r="T380" s="42" t="str">
        <f t="shared" si="188"/>
        <v>HL</v>
      </c>
      <c r="U380" s="42" t="str">
        <f t="shared" si="189"/>
        <v>U</v>
      </c>
      <c r="V380" s="42" t="str">
        <f t="shared" si="190"/>
        <v>U</v>
      </c>
      <c r="W380" s="42" t="str">
        <f t="shared" si="191"/>
        <v>U</v>
      </c>
      <c r="X380" s="42" t="str">
        <f t="shared" si="192"/>
        <v>U</v>
      </c>
      <c r="Z380" s="42">
        <v>54</v>
      </c>
      <c r="AB380" s="42" t="str">
        <f t="shared" si="193"/>
        <v>SAC/NYK</v>
      </c>
      <c r="AC380" s="42">
        <f t="shared" si="194"/>
        <v>0</v>
      </c>
      <c r="AD380" s="42">
        <f t="shared" si="195"/>
        <v>4</v>
      </c>
    </row>
    <row r="381" spans="1:30" ht="17.100000000000001" x14ac:dyDescent="0.45">
      <c r="A381" s="42">
        <v>191215</v>
      </c>
      <c r="B381" s="44">
        <v>0.29166666666666669</v>
      </c>
      <c r="C381" s="42" t="s">
        <v>404</v>
      </c>
      <c r="D381" s="42" t="s">
        <v>426</v>
      </c>
      <c r="E381" s="42">
        <v>18</v>
      </c>
      <c r="F381" s="42">
        <v>30</v>
      </c>
      <c r="G381" s="42">
        <v>32</v>
      </c>
      <c r="H381" s="42">
        <v>29</v>
      </c>
      <c r="I381" s="42">
        <v>10</v>
      </c>
      <c r="J381" s="42">
        <v>28</v>
      </c>
      <c r="K381" s="42">
        <v>16</v>
      </c>
      <c r="L381" s="42">
        <v>34</v>
      </c>
      <c r="M381" s="42">
        <v>31</v>
      </c>
      <c r="N381" s="42">
        <v>12</v>
      </c>
      <c r="O381" s="42">
        <f t="shared" si="183"/>
        <v>119</v>
      </c>
      <c r="P381" s="42">
        <f t="shared" si="184"/>
        <v>121</v>
      </c>
      <c r="Q381" s="42" t="str">
        <f t="shared" si="185"/>
        <v>HL</v>
      </c>
      <c r="R381" s="42" t="str">
        <f t="shared" si="186"/>
        <v>HW</v>
      </c>
      <c r="S381" s="42" t="str">
        <f t="shared" si="187"/>
        <v>HL</v>
      </c>
      <c r="T381" s="42" t="str">
        <f t="shared" si="188"/>
        <v>HL</v>
      </c>
      <c r="U381" s="42" t="str">
        <f t="shared" si="189"/>
        <v>U</v>
      </c>
      <c r="V381" s="42" t="str">
        <f t="shared" si="190"/>
        <v>U</v>
      </c>
      <c r="W381" s="42" t="str">
        <f t="shared" si="191"/>
        <v>O</v>
      </c>
      <c r="X381" s="42" t="str">
        <f t="shared" si="192"/>
        <v>O</v>
      </c>
      <c r="Z381" s="42">
        <v>53.5</v>
      </c>
      <c r="AB381" s="42" t="str">
        <f t="shared" si="193"/>
        <v>PHO/SAS</v>
      </c>
      <c r="AC381" s="42">
        <f t="shared" si="194"/>
        <v>2</v>
      </c>
      <c r="AD381" s="42">
        <f t="shared" si="195"/>
        <v>2</v>
      </c>
    </row>
    <row r="382" spans="1:30" ht="17.100000000000001" x14ac:dyDescent="0.45">
      <c r="A382" s="42">
        <v>191215</v>
      </c>
      <c r="B382" s="44">
        <v>0.39583333333333331</v>
      </c>
      <c r="C382" s="42" t="s">
        <v>413</v>
      </c>
      <c r="D382" s="42" t="s">
        <v>407</v>
      </c>
      <c r="E382" s="42">
        <v>38</v>
      </c>
      <c r="F382" s="42">
        <v>27</v>
      </c>
      <c r="G382" s="42">
        <v>25</v>
      </c>
      <c r="H382" s="42">
        <v>20</v>
      </c>
      <c r="I382" s="42"/>
      <c r="J382" s="42">
        <v>31</v>
      </c>
      <c r="K382" s="42">
        <v>29</v>
      </c>
      <c r="L382" s="42">
        <v>23</v>
      </c>
      <c r="M382" s="42">
        <v>19</v>
      </c>
      <c r="N382" s="42" t="s">
        <v>427</v>
      </c>
      <c r="O382" s="42">
        <f t="shared" si="183"/>
        <v>110</v>
      </c>
      <c r="P382" s="42">
        <f t="shared" si="184"/>
        <v>102</v>
      </c>
      <c r="Q382" s="42" t="str">
        <f t="shared" si="185"/>
        <v>HW</v>
      </c>
      <c r="R382" s="42" t="str">
        <f t="shared" si="186"/>
        <v>HL</v>
      </c>
      <c r="S382" s="42" t="str">
        <f t="shared" si="187"/>
        <v>HW</v>
      </c>
      <c r="T382" s="42" t="str">
        <f t="shared" si="188"/>
        <v>HW</v>
      </c>
      <c r="U382" s="42" t="str">
        <f t="shared" si="189"/>
        <v>O</v>
      </c>
      <c r="V382" s="42" t="str">
        <f t="shared" si="190"/>
        <v>O</v>
      </c>
      <c r="W382" s="42" t="str">
        <f t="shared" si="191"/>
        <v>U</v>
      </c>
      <c r="X382" s="42" t="str">
        <f t="shared" si="192"/>
        <v>U</v>
      </c>
      <c r="Z382" s="42">
        <v>53.5</v>
      </c>
      <c r="AB382" s="42" t="str">
        <f t="shared" si="193"/>
        <v>TOR/BKN</v>
      </c>
      <c r="AC382" s="42">
        <f t="shared" si="194"/>
        <v>2</v>
      </c>
      <c r="AD382" s="42">
        <f t="shared" si="195"/>
        <v>2</v>
      </c>
    </row>
    <row r="383" spans="1:30" ht="17.100000000000001" x14ac:dyDescent="0.45">
      <c r="A383" s="42">
        <v>191215</v>
      </c>
      <c r="B383" s="44">
        <v>0.41666666666666669</v>
      </c>
      <c r="C383" s="42" t="s">
        <v>412</v>
      </c>
      <c r="D383" s="42" t="s">
        <v>415</v>
      </c>
      <c r="E383" s="42">
        <v>24</v>
      </c>
      <c r="F383" s="42">
        <v>31</v>
      </c>
      <c r="G383" s="42">
        <v>29</v>
      </c>
      <c r="H383" s="42">
        <v>25</v>
      </c>
      <c r="I383" s="42"/>
      <c r="J383" s="42">
        <v>29</v>
      </c>
      <c r="K383" s="42">
        <v>28</v>
      </c>
      <c r="L383" s="42">
        <v>22</v>
      </c>
      <c r="M383" s="42">
        <v>27</v>
      </c>
      <c r="N383" s="42" t="s">
        <v>427</v>
      </c>
      <c r="O383" s="42">
        <f t="shared" si="183"/>
        <v>109</v>
      </c>
      <c r="P383" s="42">
        <f t="shared" si="184"/>
        <v>106</v>
      </c>
      <c r="Q383" s="42" t="str">
        <f t="shared" si="185"/>
        <v>HL</v>
      </c>
      <c r="R383" s="42" t="str">
        <f t="shared" si="186"/>
        <v>HW</v>
      </c>
      <c r="S383" s="42" t="str">
        <f t="shared" si="187"/>
        <v>HW</v>
      </c>
      <c r="T383" s="42" t="str">
        <f t="shared" si="188"/>
        <v>HL</v>
      </c>
      <c r="U383" s="42" t="str">
        <f t="shared" si="189"/>
        <v>U</v>
      </c>
      <c r="V383" s="42" t="str">
        <f t="shared" si="190"/>
        <v>O</v>
      </c>
      <c r="W383" s="42" t="str">
        <f t="shared" si="191"/>
        <v>U</v>
      </c>
      <c r="X383" s="42" t="str">
        <f t="shared" si="192"/>
        <v>U</v>
      </c>
      <c r="Z383" s="42">
        <v>55</v>
      </c>
      <c r="AB383" s="42" t="str">
        <f t="shared" si="193"/>
        <v>CHI/LAC</v>
      </c>
      <c r="AC383" s="42">
        <f t="shared" si="194"/>
        <v>1</v>
      </c>
      <c r="AD383" s="42">
        <f t="shared" si="195"/>
        <v>3</v>
      </c>
    </row>
    <row r="384" spans="1:30" ht="17.100000000000001" x14ac:dyDescent="0.45">
      <c r="A384" s="42">
        <v>191215</v>
      </c>
      <c r="B384" s="44">
        <v>0.41666666666666669</v>
      </c>
      <c r="C384" s="42" t="s">
        <v>406</v>
      </c>
      <c r="D384" s="42" t="s">
        <v>414</v>
      </c>
      <c r="E384" s="42">
        <v>35</v>
      </c>
      <c r="F384" s="42">
        <v>34</v>
      </c>
      <c r="G384" s="42">
        <v>35</v>
      </c>
      <c r="H384" s="42">
        <v>24</v>
      </c>
      <c r="I384" s="42"/>
      <c r="J384" s="42">
        <v>30</v>
      </c>
      <c r="K384" s="42">
        <v>24</v>
      </c>
      <c r="L384" s="42">
        <v>30</v>
      </c>
      <c r="M384" s="42">
        <v>27</v>
      </c>
      <c r="N384" s="42" t="s">
        <v>427</v>
      </c>
      <c r="O384" s="42">
        <f t="shared" si="183"/>
        <v>128</v>
      </c>
      <c r="P384" s="42">
        <f t="shared" si="184"/>
        <v>111</v>
      </c>
      <c r="Q384" s="42" t="str">
        <f t="shared" si="185"/>
        <v>HW</v>
      </c>
      <c r="R384" s="42" t="str">
        <f t="shared" si="186"/>
        <v>HW</v>
      </c>
      <c r="S384" s="42" t="str">
        <f t="shared" si="187"/>
        <v>HW</v>
      </c>
      <c r="T384" s="42" t="str">
        <f t="shared" si="188"/>
        <v>HL</v>
      </c>
      <c r="U384" s="42" t="str">
        <f t="shared" si="189"/>
        <v>O</v>
      </c>
      <c r="V384" s="42" t="str">
        <f t="shared" si="190"/>
        <v>U</v>
      </c>
      <c r="W384" s="42" t="str">
        <f t="shared" si="191"/>
        <v>O</v>
      </c>
      <c r="X384" s="42" t="str">
        <f t="shared" si="192"/>
        <v>U</v>
      </c>
      <c r="Z384" s="42">
        <v>60.5</v>
      </c>
      <c r="AB384" s="42" t="str">
        <f t="shared" si="193"/>
        <v>MEM/WAS</v>
      </c>
      <c r="AC384" s="42">
        <f t="shared" si="194"/>
        <v>2</v>
      </c>
      <c r="AD384" s="42">
        <f t="shared" si="195"/>
        <v>2</v>
      </c>
    </row>
    <row r="385" spans="1:30" ht="17.100000000000001" x14ac:dyDescent="0.45">
      <c r="A385" s="42">
        <v>191215</v>
      </c>
      <c r="B385" s="44">
        <v>0.4375</v>
      </c>
      <c r="C385" s="42" t="s">
        <v>397</v>
      </c>
      <c r="D385" s="42" t="s">
        <v>411</v>
      </c>
      <c r="E385" s="42">
        <v>23</v>
      </c>
      <c r="F385" s="42">
        <v>27</v>
      </c>
      <c r="G385" s="42">
        <v>31</v>
      </c>
      <c r="H385" s="42">
        <v>31</v>
      </c>
      <c r="I385" s="42">
        <v>6</v>
      </c>
      <c r="J385" s="42">
        <v>37</v>
      </c>
      <c r="K385" s="42">
        <v>36</v>
      </c>
      <c r="L385" s="42">
        <v>18</v>
      </c>
      <c r="M385" s="42">
        <v>21</v>
      </c>
      <c r="N385" s="42">
        <v>10</v>
      </c>
      <c r="O385" s="42">
        <f t="shared" ref="O385:O407" si="196">SUM(E385:I385)</f>
        <v>118</v>
      </c>
      <c r="P385" s="42">
        <f t="shared" ref="P385:P407" si="197">SUM(J385:N385)</f>
        <v>122</v>
      </c>
      <c r="Q385" s="42" t="str">
        <f t="shared" ref="Q385:Q407" si="198">IF(E385=J385,"TT",IF(E385&gt;J385,"HW","HL"))</f>
        <v>HL</v>
      </c>
      <c r="R385" s="42" t="str">
        <f t="shared" ref="R385:R407" si="199">IF(F385=K385,"TT",IF(F385&gt;K385,"HW","HL"))</f>
        <v>HL</v>
      </c>
      <c r="S385" s="42" t="str">
        <f t="shared" ref="S385:S407" si="200">IF(G385=L385,"TT",IF(G385&gt;L385,"HW","HL"))</f>
        <v>HW</v>
      </c>
      <c r="T385" s="42" t="str">
        <f t="shared" ref="T385:T407" si="201">IF(H385=M385,"TT",IF(H385&gt;M385,"HW","HL"))</f>
        <v>HW</v>
      </c>
      <c r="U385" s="42" t="str">
        <f t="shared" ref="U385:U407" si="202">IF(SUM(E385,J385)=$Z385,"T",IF(SUM(E385,J385)&gt;$Z385,"O","U"))</f>
        <v>O</v>
      </c>
      <c r="V385" s="42" t="str">
        <f t="shared" ref="V385:V407" si="203">IF(SUM(F385,K385)=$Z385,"T",IF(SUM(F385,K385)&gt;$Z385,"O","U"))</f>
        <v>O</v>
      </c>
      <c r="W385" s="42" t="str">
        <f t="shared" ref="W385:W407" si="204">IF(SUM(G385,L385)=$Z385,"T",IF(SUM(G385,L385)&gt;$Z385,"O","U"))</f>
        <v>U</v>
      </c>
      <c r="X385" s="42" t="str">
        <f t="shared" ref="X385:X407" si="205">IF(SUM(H385,M385)=$Z385,"T",IF(SUM(H385,M385)&gt;$Z385,"O","U"))</f>
        <v>U</v>
      </c>
      <c r="Z385" s="42">
        <v>56</v>
      </c>
      <c r="AB385" s="42" t="str">
        <f t="shared" ref="AB385:AB407" si="206">C385&amp;"/"&amp;D385</f>
        <v>DAL/MIA</v>
      </c>
      <c r="AC385" s="42">
        <f t="shared" ref="AC385:AC407" si="207">COUNTIF(U385:X385,"o")</f>
        <v>2</v>
      </c>
      <c r="AD385" s="42">
        <f t="shared" ref="AD385:AD407" si="208">COUNTIF(U385:X385,"u")</f>
        <v>2</v>
      </c>
    </row>
    <row r="386" spans="1:30" ht="17.100000000000001" x14ac:dyDescent="0.45">
      <c r="A386" s="42">
        <v>191215</v>
      </c>
      <c r="B386" s="44">
        <v>0.4375</v>
      </c>
      <c r="C386" s="42" t="s">
        <v>423</v>
      </c>
      <c r="D386" s="42" t="s">
        <v>402</v>
      </c>
      <c r="E386" s="42">
        <v>26</v>
      </c>
      <c r="F386" s="42">
        <v>43</v>
      </c>
      <c r="G386" s="42">
        <v>33</v>
      </c>
      <c r="H386" s="42">
        <v>23</v>
      </c>
      <c r="I386" s="42"/>
      <c r="J386" s="42">
        <v>20</v>
      </c>
      <c r="K386" s="42">
        <v>31</v>
      </c>
      <c r="L386" s="42">
        <v>28</v>
      </c>
      <c r="M386" s="42">
        <v>29</v>
      </c>
      <c r="N386" s="42" t="s">
        <v>427</v>
      </c>
      <c r="O386" s="42">
        <f t="shared" si="196"/>
        <v>125</v>
      </c>
      <c r="P386" s="42">
        <f t="shared" si="197"/>
        <v>108</v>
      </c>
      <c r="Q386" s="42" t="str">
        <f t="shared" si="198"/>
        <v>HW</v>
      </c>
      <c r="R386" s="42" t="str">
        <f t="shared" si="199"/>
        <v>HW</v>
      </c>
      <c r="S386" s="42" t="str">
        <f t="shared" si="200"/>
        <v>HW</v>
      </c>
      <c r="T386" s="42" t="str">
        <f t="shared" si="201"/>
        <v>HL</v>
      </c>
      <c r="U386" s="42" t="str">
        <f t="shared" si="202"/>
        <v>U</v>
      </c>
      <c r="V386" s="42" t="str">
        <f t="shared" si="203"/>
        <v>O</v>
      </c>
      <c r="W386" s="42" t="str">
        <f t="shared" si="204"/>
        <v>O</v>
      </c>
      <c r="X386" s="42" t="str">
        <f t="shared" si="205"/>
        <v>U</v>
      </c>
      <c r="Z386" s="42">
        <v>54.5</v>
      </c>
      <c r="AB386" s="42" t="str">
        <f t="shared" si="206"/>
        <v>MIL/CLE</v>
      </c>
      <c r="AC386" s="42">
        <f t="shared" si="207"/>
        <v>2</v>
      </c>
      <c r="AD386" s="42">
        <f t="shared" si="208"/>
        <v>2</v>
      </c>
    </row>
    <row r="387" spans="1:30" ht="17.100000000000001" x14ac:dyDescent="0.45">
      <c r="A387" s="42">
        <v>191215</v>
      </c>
      <c r="B387" s="44">
        <v>0.45833333333333331</v>
      </c>
      <c r="C387" s="42" t="s">
        <v>408</v>
      </c>
      <c r="D387" s="42" t="s">
        <v>418</v>
      </c>
      <c r="E387" s="42">
        <v>27</v>
      </c>
      <c r="F387" s="42">
        <v>25</v>
      </c>
      <c r="G387" s="42">
        <v>30</v>
      </c>
      <c r="H387" s="42">
        <v>28</v>
      </c>
      <c r="I387" s="42"/>
      <c r="J387" s="42">
        <v>20</v>
      </c>
      <c r="K387" s="42">
        <v>29</v>
      </c>
      <c r="L387" s="42">
        <v>19</v>
      </c>
      <c r="M387" s="42">
        <v>34</v>
      </c>
      <c r="N387" s="42" t="s">
        <v>427</v>
      </c>
      <c r="O387" s="42">
        <f t="shared" si="196"/>
        <v>110</v>
      </c>
      <c r="P387" s="42">
        <f t="shared" si="197"/>
        <v>102</v>
      </c>
      <c r="Q387" s="42" t="str">
        <f t="shared" si="198"/>
        <v>HW</v>
      </c>
      <c r="R387" s="42" t="str">
        <f t="shared" si="199"/>
        <v>HL</v>
      </c>
      <c r="S387" s="42" t="str">
        <f t="shared" si="200"/>
        <v>HW</v>
      </c>
      <c r="T387" s="42" t="str">
        <f t="shared" si="201"/>
        <v>HL</v>
      </c>
      <c r="U387" s="42" t="str">
        <f t="shared" si="202"/>
        <v>U</v>
      </c>
      <c r="V387" s="42" t="str">
        <f t="shared" si="203"/>
        <v>O</v>
      </c>
      <c r="W387" s="42" t="str">
        <f t="shared" si="204"/>
        <v>U</v>
      </c>
      <c r="X387" s="42" t="str">
        <f t="shared" si="205"/>
        <v>O</v>
      </c>
      <c r="Z387" s="42">
        <v>53</v>
      </c>
      <c r="AB387" s="42" t="str">
        <f t="shared" si="206"/>
        <v>DEN/OKC</v>
      </c>
      <c r="AC387" s="42">
        <f t="shared" si="207"/>
        <v>2</v>
      </c>
      <c r="AD387" s="42">
        <f t="shared" si="208"/>
        <v>2</v>
      </c>
    </row>
    <row r="388" spans="1:30" ht="17.100000000000001" x14ac:dyDescent="0.45">
      <c r="A388" s="42">
        <v>191215</v>
      </c>
      <c r="B388" s="44">
        <v>0.45833333333333331</v>
      </c>
      <c r="C388" s="42" t="s">
        <v>403</v>
      </c>
      <c r="D388" s="42" t="s">
        <v>422</v>
      </c>
      <c r="E388" s="42">
        <v>32</v>
      </c>
      <c r="F388" s="42">
        <v>20</v>
      </c>
      <c r="G388" s="42">
        <v>23</v>
      </c>
      <c r="H388" s="42">
        <v>32</v>
      </c>
      <c r="I388" s="42"/>
      <c r="J388" s="42">
        <v>30</v>
      </c>
      <c r="K388" s="42">
        <v>32</v>
      </c>
      <c r="L388" s="42">
        <v>26</v>
      </c>
      <c r="M388" s="42">
        <v>27</v>
      </c>
      <c r="N388" s="42" t="s">
        <v>427</v>
      </c>
      <c r="O388" s="42">
        <f t="shared" si="196"/>
        <v>107</v>
      </c>
      <c r="P388" s="42">
        <f t="shared" si="197"/>
        <v>115</v>
      </c>
      <c r="Q388" s="42" t="str">
        <f t="shared" si="198"/>
        <v>HW</v>
      </c>
      <c r="R388" s="42" t="str">
        <f t="shared" si="199"/>
        <v>HL</v>
      </c>
      <c r="S388" s="42" t="str">
        <f t="shared" si="200"/>
        <v>HL</v>
      </c>
      <c r="T388" s="42" t="str">
        <f t="shared" si="201"/>
        <v>HW</v>
      </c>
      <c r="U388" s="42" t="str">
        <f t="shared" si="202"/>
        <v>O</v>
      </c>
      <c r="V388" s="42" t="str">
        <f t="shared" si="203"/>
        <v>U</v>
      </c>
      <c r="W388" s="42" t="str">
        <f t="shared" si="204"/>
        <v>U</v>
      </c>
      <c r="X388" s="42" t="str">
        <f t="shared" si="205"/>
        <v>O</v>
      </c>
      <c r="Z388" s="42">
        <v>58.5</v>
      </c>
      <c r="AB388" s="42" t="str">
        <f t="shared" si="206"/>
        <v>HOU/DET</v>
      </c>
      <c r="AC388" s="42">
        <f t="shared" si="207"/>
        <v>2</v>
      </c>
      <c r="AD388" s="42">
        <f t="shared" si="208"/>
        <v>2</v>
      </c>
    </row>
    <row r="389" spans="1:30" ht="17.100000000000001" x14ac:dyDescent="0.45">
      <c r="A389" s="42">
        <v>191216</v>
      </c>
      <c r="B389" s="44">
        <v>0.22916666666666666</v>
      </c>
      <c r="C389" s="42" t="s">
        <v>398</v>
      </c>
      <c r="D389" s="42" t="s">
        <v>424</v>
      </c>
      <c r="E389" s="42">
        <v>30</v>
      </c>
      <c r="F389" s="42">
        <v>27</v>
      </c>
      <c r="G389" s="42">
        <v>27</v>
      </c>
      <c r="H389" s="42">
        <v>35</v>
      </c>
      <c r="I389" s="42"/>
      <c r="J389" s="42">
        <v>24</v>
      </c>
      <c r="K389" s="42">
        <v>34</v>
      </c>
      <c r="L389" s="42">
        <v>41</v>
      </c>
      <c r="M389" s="42">
        <v>31</v>
      </c>
      <c r="N389" s="42" t="s">
        <v>427</v>
      </c>
      <c r="O389" s="42">
        <f t="shared" si="196"/>
        <v>119</v>
      </c>
      <c r="P389" s="42">
        <f t="shared" si="197"/>
        <v>130</v>
      </c>
      <c r="Q389" s="42" t="str">
        <f t="shared" si="198"/>
        <v>HW</v>
      </c>
      <c r="R389" s="42" t="str">
        <f t="shared" si="199"/>
        <v>HL</v>
      </c>
      <c r="S389" s="42" t="str">
        <f t="shared" si="200"/>
        <v>HL</v>
      </c>
      <c r="T389" s="42" t="str">
        <f t="shared" si="201"/>
        <v>HW</v>
      </c>
      <c r="U389" s="42" t="str">
        <f t="shared" si="202"/>
        <v>U</v>
      </c>
      <c r="V389" s="42" t="str">
        <f t="shared" si="203"/>
        <v>O</v>
      </c>
      <c r="W389" s="42" t="str">
        <f t="shared" si="204"/>
        <v>O</v>
      </c>
      <c r="X389" s="42" t="str">
        <f t="shared" si="205"/>
        <v>O</v>
      </c>
      <c r="Z389" s="42">
        <v>56</v>
      </c>
      <c r="AB389" s="42" t="str">
        <f t="shared" si="206"/>
        <v>NO/ORL</v>
      </c>
      <c r="AC389" s="42">
        <f t="shared" si="207"/>
        <v>3</v>
      </c>
      <c r="AD389" s="42">
        <f t="shared" si="208"/>
        <v>1</v>
      </c>
    </row>
    <row r="390" spans="1:30" ht="17.100000000000001" x14ac:dyDescent="0.45">
      <c r="A390" s="42">
        <v>191216</v>
      </c>
      <c r="B390" s="44">
        <v>0.29166666666666669</v>
      </c>
      <c r="C390" s="42" t="s">
        <v>400</v>
      </c>
      <c r="D390" s="42" t="s">
        <v>409</v>
      </c>
      <c r="E390" s="42">
        <v>33</v>
      </c>
      <c r="F390" s="42">
        <v>26</v>
      </c>
      <c r="G390" s="42">
        <v>13</v>
      </c>
      <c r="H390" s="42">
        <v>35</v>
      </c>
      <c r="I390" s="42"/>
      <c r="J390" s="42">
        <v>20</v>
      </c>
      <c r="K390" s="42">
        <v>24</v>
      </c>
      <c r="L390" s="42">
        <v>22</v>
      </c>
      <c r="M390" s="42">
        <v>19</v>
      </c>
      <c r="N390" s="42" t="s">
        <v>427</v>
      </c>
      <c r="O390" s="42">
        <f t="shared" si="196"/>
        <v>107</v>
      </c>
      <c r="P390" s="42">
        <f t="shared" si="197"/>
        <v>85</v>
      </c>
      <c r="Q390" s="42" t="str">
        <f t="shared" si="198"/>
        <v>HW</v>
      </c>
      <c r="R390" s="42" t="str">
        <f t="shared" si="199"/>
        <v>HW</v>
      </c>
      <c r="S390" s="42" t="str">
        <f t="shared" si="200"/>
        <v>HL</v>
      </c>
      <c r="T390" s="42" t="str">
        <f t="shared" si="201"/>
        <v>HW</v>
      </c>
      <c r="U390" s="42" t="str">
        <f t="shared" si="202"/>
        <v>U</v>
      </c>
      <c r="V390" s="42" t="str">
        <f t="shared" si="203"/>
        <v>U</v>
      </c>
      <c r="W390" s="42" t="str">
        <f t="shared" si="204"/>
        <v>U</v>
      </c>
      <c r="X390" s="42" t="str">
        <f t="shared" si="205"/>
        <v>U</v>
      </c>
      <c r="Z390" s="42">
        <v>54.5</v>
      </c>
      <c r="AB390" s="42" t="str">
        <f t="shared" si="206"/>
        <v>IND/CHA</v>
      </c>
      <c r="AC390" s="42">
        <f t="shared" si="207"/>
        <v>0</v>
      </c>
      <c r="AD390" s="42">
        <f t="shared" si="208"/>
        <v>4</v>
      </c>
    </row>
    <row r="391" spans="1:30" ht="17.100000000000001" x14ac:dyDescent="0.45">
      <c r="A391" s="42">
        <v>191216</v>
      </c>
      <c r="B391" s="44">
        <v>0.33333333333333331</v>
      </c>
      <c r="C391" s="42" t="s">
        <v>410</v>
      </c>
      <c r="D391" s="42" t="s">
        <v>419</v>
      </c>
      <c r="E391" s="42">
        <v>25</v>
      </c>
      <c r="F391" s="42">
        <v>23</v>
      </c>
      <c r="G391" s="42">
        <v>30</v>
      </c>
      <c r="H391" s="42">
        <v>18</v>
      </c>
      <c r="I391" s="42"/>
      <c r="J391" s="42">
        <v>24</v>
      </c>
      <c r="K391" s="42">
        <v>31</v>
      </c>
      <c r="L391" s="42">
        <v>27</v>
      </c>
      <c r="M391" s="42">
        <v>19</v>
      </c>
      <c r="N391" s="42" t="s">
        <v>427</v>
      </c>
      <c r="O391" s="42">
        <f t="shared" si="196"/>
        <v>96</v>
      </c>
      <c r="P391" s="42">
        <f t="shared" si="197"/>
        <v>101</v>
      </c>
      <c r="Q391" s="42" t="str">
        <f t="shared" si="198"/>
        <v>HW</v>
      </c>
      <c r="R391" s="42" t="str">
        <f t="shared" si="199"/>
        <v>HL</v>
      </c>
      <c r="S391" s="42" t="str">
        <f t="shared" si="200"/>
        <v>HW</v>
      </c>
      <c r="T391" s="42" t="str">
        <f t="shared" si="201"/>
        <v>HL</v>
      </c>
      <c r="U391" s="42" t="str">
        <f t="shared" si="202"/>
        <v>U</v>
      </c>
      <c r="V391" s="42" t="str">
        <f t="shared" si="203"/>
        <v>U</v>
      </c>
      <c r="W391" s="42" t="str">
        <f t="shared" si="204"/>
        <v>U</v>
      </c>
      <c r="X391" s="42" t="str">
        <f t="shared" si="205"/>
        <v>U</v>
      </c>
      <c r="Z391" s="42">
        <v>59</v>
      </c>
      <c r="AB391" s="42" t="str">
        <f t="shared" si="206"/>
        <v>ATL/LAL</v>
      </c>
      <c r="AC391" s="42">
        <f t="shared" si="207"/>
        <v>0</v>
      </c>
      <c r="AD391" s="42">
        <f t="shared" si="208"/>
        <v>4</v>
      </c>
    </row>
    <row r="392" spans="1:30" ht="17.100000000000001" x14ac:dyDescent="0.45">
      <c r="A392" s="42">
        <v>191216</v>
      </c>
      <c r="B392" s="44">
        <v>0.33333333333333331</v>
      </c>
      <c r="C392" s="42" t="s">
        <v>407</v>
      </c>
      <c r="D392" s="42" t="s">
        <v>401</v>
      </c>
      <c r="E392" s="42">
        <v>28</v>
      </c>
      <c r="F392" s="42">
        <v>29</v>
      </c>
      <c r="G392" s="42">
        <v>26</v>
      </c>
      <c r="H392" s="42">
        <v>26</v>
      </c>
      <c r="I392" s="42"/>
      <c r="J392" s="42">
        <v>23</v>
      </c>
      <c r="K392" s="42">
        <v>20</v>
      </c>
      <c r="L392" s="42">
        <v>23</v>
      </c>
      <c r="M392" s="42">
        <v>23</v>
      </c>
      <c r="N392" s="42" t="s">
        <v>427</v>
      </c>
      <c r="O392" s="42">
        <f t="shared" si="196"/>
        <v>109</v>
      </c>
      <c r="P392" s="42">
        <f t="shared" si="197"/>
        <v>89</v>
      </c>
      <c r="Q392" s="42" t="str">
        <f t="shared" si="198"/>
        <v>HW</v>
      </c>
      <c r="R392" s="42" t="str">
        <f t="shared" si="199"/>
        <v>HW</v>
      </c>
      <c r="S392" s="42" t="str">
        <f t="shared" si="200"/>
        <v>HW</v>
      </c>
      <c r="T392" s="42" t="str">
        <f t="shared" si="201"/>
        <v>HW</v>
      </c>
      <c r="U392" s="42" t="str">
        <f t="shared" si="202"/>
        <v>U</v>
      </c>
      <c r="V392" s="42" t="str">
        <f t="shared" si="203"/>
        <v>U</v>
      </c>
      <c r="W392" s="42" t="str">
        <f t="shared" si="204"/>
        <v>U</v>
      </c>
      <c r="X392" s="42" t="str">
        <f t="shared" si="205"/>
        <v>U</v>
      </c>
      <c r="Z392" s="42">
        <v>53.5</v>
      </c>
      <c r="AB392" s="42" t="str">
        <f t="shared" si="206"/>
        <v>BKN/PHI</v>
      </c>
      <c r="AC392" s="42">
        <f t="shared" si="207"/>
        <v>0</v>
      </c>
      <c r="AD392" s="42">
        <f t="shared" si="208"/>
        <v>4</v>
      </c>
    </row>
    <row r="393" spans="1:30" ht="17.100000000000001" x14ac:dyDescent="0.45">
      <c r="A393" s="42">
        <v>191216</v>
      </c>
      <c r="B393" s="44">
        <v>0.41666666666666669</v>
      </c>
      <c r="C393" s="42" t="s">
        <v>408</v>
      </c>
      <c r="D393" s="42" t="s">
        <v>399</v>
      </c>
      <c r="E393" s="42">
        <v>33</v>
      </c>
      <c r="F393" s="42">
        <v>34</v>
      </c>
      <c r="G393" s="42">
        <v>20</v>
      </c>
      <c r="H393" s="42">
        <v>24</v>
      </c>
      <c r="I393" s="42"/>
      <c r="J393" s="42">
        <v>22</v>
      </c>
      <c r="K393" s="42">
        <v>29</v>
      </c>
      <c r="L393" s="42">
        <v>33</v>
      </c>
      <c r="M393" s="42">
        <v>21</v>
      </c>
      <c r="N393" s="42" t="s">
        <v>427</v>
      </c>
      <c r="O393" s="42">
        <f t="shared" si="196"/>
        <v>111</v>
      </c>
      <c r="P393" s="42">
        <f t="shared" si="197"/>
        <v>105</v>
      </c>
      <c r="Q393" s="42" t="str">
        <f t="shared" si="198"/>
        <v>HW</v>
      </c>
      <c r="R393" s="42" t="str">
        <f t="shared" si="199"/>
        <v>HW</v>
      </c>
      <c r="S393" s="42" t="str">
        <f t="shared" si="200"/>
        <v>HL</v>
      </c>
      <c r="T393" s="42" t="str">
        <f t="shared" si="201"/>
        <v>HW</v>
      </c>
      <c r="U393" s="42" t="str">
        <f t="shared" si="202"/>
        <v>O</v>
      </c>
      <c r="V393" s="42" t="str">
        <f t="shared" si="203"/>
        <v>O</v>
      </c>
      <c r="W393" s="42" t="str">
        <f t="shared" si="204"/>
        <v>U</v>
      </c>
      <c r="X393" s="42" t="str">
        <f t="shared" si="205"/>
        <v>U</v>
      </c>
      <c r="Z393" s="42">
        <v>53.5</v>
      </c>
      <c r="AB393" s="42" t="str">
        <f t="shared" si="206"/>
        <v>DEN/NYK</v>
      </c>
      <c r="AC393" s="42">
        <f t="shared" si="207"/>
        <v>2</v>
      </c>
      <c r="AD393" s="42">
        <f t="shared" si="208"/>
        <v>2</v>
      </c>
    </row>
    <row r="394" spans="1:30" ht="17.100000000000001" x14ac:dyDescent="0.45">
      <c r="A394" s="42">
        <v>191216</v>
      </c>
      <c r="B394" s="44">
        <v>0.4375</v>
      </c>
      <c r="C394" s="42" t="s">
        <v>425</v>
      </c>
      <c r="D394" s="42" t="s">
        <v>416</v>
      </c>
      <c r="E394" s="42">
        <v>18</v>
      </c>
      <c r="F394" s="42">
        <v>24</v>
      </c>
      <c r="G394" s="42">
        <v>17</v>
      </c>
      <c r="H394" s="42">
        <v>20</v>
      </c>
      <c r="I394" s="42"/>
      <c r="J394" s="42">
        <v>26</v>
      </c>
      <c r="K394" s="42">
        <v>25</v>
      </c>
      <c r="L394" s="42">
        <v>28</v>
      </c>
      <c r="M394" s="42">
        <v>21</v>
      </c>
      <c r="N394" s="42" t="s">
        <v>427</v>
      </c>
      <c r="O394" s="42">
        <f t="shared" si="196"/>
        <v>79</v>
      </c>
      <c r="P394" s="42">
        <f t="shared" si="197"/>
        <v>100</v>
      </c>
      <c r="Q394" s="42" t="str">
        <f t="shared" si="198"/>
        <v>HL</v>
      </c>
      <c r="R394" s="42" t="str">
        <f t="shared" si="199"/>
        <v>HL</v>
      </c>
      <c r="S394" s="42" t="str">
        <f t="shared" si="200"/>
        <v>HL</v>
      </c>
      <c r="T394" s="42" t="str">
        <f t="shared" si="201"/>
        <v>HL</v>
      </c>
      <c r="U394" s="42" t="str">
        <f t="shared" si="202"/>
        <v>U</v>
      </c>
      <c r="V394" s="42" t="str">
        <f t="shared" si="203"/>
        <v>U</v>
      </c>
      <c r="W394" s="42" t="str">
        <f t="shared" si="204"/>
        <v>U</v>
      </c>
      <c r="X394" s="42" t="str">
        <f t="shared" si="205"/>
        <v>U</v>
      </c>
      <c r="Z394" s="42">
        <v>54</v>
      </c>
      <c r="AB394" s="42" t="str">
        <f t="shared" si="206"/>
        <v>GS/SAC</v>
      </c>
      <c r="AC394" s="42">
        <f t="shared" si="207"/>
        <v>0</v>
      </c>
      <c r="AD394" s="42">
        <f t="shared" si="208"/>
        <v>4</v>
      </c>
    </row>
    <row r="395" spans="1:30" ht="17.100000000000001" x14ac:dyDescent="0.45">
      <c r="A395" s="42">
        <v>191217</v>
      </c>
      <c r="B395" s="44">
        <v>0.375</v>
      </c>
      <c r="C395" s="42" t="s">
        <v>422</v>
      </c>
      <c r="D395" s="42" t="s">
        <v>414</v>
      </c>
      <c r="E395" s="42">
        <v>31</v>
      </c>
      <c r="F395" s="42">
        <v>30</v>
      </c>
      <c r="G395" s="42">
        <v>30</v>
      </c>
      <c r="H395" s="42">
        <v>28</v>
      </c>
      <c r="I395" s="42"/>
      <c r="J395" s="42">
        <v>43</v>
      </c>
      <c r="K395" s="42">
        <v>24</v>
      </c>
      <c r="L395" s="42">
        <v>29</v>
      </c>
      <c r="M395" s="42">
        <v>37</v>
      </c>
      <c r="N395" s="42" t="s">
        <v>427</v>
      </c>
      <c r="O395" s="42">
        <f t="shared" si="196"/>
        <v>119</v>
      </c>
      <c r="P395" s="42">
        <f t="shared" si="197"/>
        <v>133</v>
      </c>
      <c r="Q395" s="42" t="str">
        <f t="shared" si="198"/>
        <v>HL</v>
      </c>
      <c r="R395" s="42" t="str">
        <f t="shared" si="199"/>
        <v>HW</v>
      </c>
      <c r="S395" s="42" t="str">
        <f t="shared" si="200"/>
        <v>HW</v>
      </c>
      <c r="T395" s="42" t="str">
        <f t="shared" si="201"/>
        <v>HL</v>
      </c>
      <c r="U395" s="42" t="str">
        <f t="shared" si="202"/>
        <v>O</v>
      </c>
      <c r="V395" s="42" t="str">
        <f t="shared" si="203"/>
        <v>U</v>
      </c>
      <c r="W395" s="42" t="str">
        <f t="shared" si="204"/>
        <v>U</v>
      </c>
      <c r="X395" s="42" t="str">
        <f t="shared" si="205"/>
        <v>O</v>
      </c>
      <c r="Z395" s="42">
        <v>59.5</v>
      </c>
      <c r="AB395" s="42" t="str">
        <f t="shared" si="206"/>
        <v>DET/WAS</v>
      </c>
      <c r="AC395" s="42">
        <f t="shared" si="207"/>
        <v>2</v>
      </c>
      <c r="AD395" s="42">
        <f t="shared" si="208"/>
        <v>2</v>
      </c>
    </row>
    <row r="396" spans="1:30" ht="17.100000000000001" x14ac:dyDescent="0.45">
      <c r="A396" s="42">
        <v>191217</v>
      </c>
      <c r="B396" s="44">
        <v>0.39583333333333331</v>
      </c>
      <c r="C396" s="42" t="s">
        <v>413</v>
      </c>
      <c r="D396" s="42" t="s">
        <v>402</v>
      </c>
      <c r="E396" s="42">
        <v>37</v>
      </c>
      <c r="F396" s="42">
        <v>29</v>
      </c>
      <c r="G396" s="42">
        <v>38</v>
      </c>
      <c r="H396" s="42">
        <v>29</v>
      </c>
      <c r="I396" s="42"/>
      <c r="J396" s="42">
        <v>29</v>
      </c>
      <c r="K396" s="42">
        <v>25</v>
      </c>
      <c r="L396" s="42">
        <v>30</v>
      </c>
      <c r="M396" s="42">
        <v>29</v>
      </c>
      <c r="N396" s="42" t="s">
        <v>427</v>
      </c>
      <c r="O396" s="42">
        <f t="shared" si="196"/>
        <v>133</v>
      </c>
      <c r="P396" s="42">
        <f t="shared" si="197"/>
        <v>113</v>
      </c>
      <c r="Q396" s="42" t="str">
        <f t="shared" si="198"/>
        <v>HW</v>
      </c>
      <c r="R396" s="42" t="str">
        <f t="shared" si="199"/>
        <v>HW</v>
      </c>
      <c r="S396" s="42" t="str">
        <f t="shared" si="200"/>
        <v>HW</v>
      </c>
      <c r="T396" s="42" t="str">
        <f t="shared" si="201"/>
        <v>TT</v>
      </c>
      <c r="U396" s="42" t="str">
        <f t="shared" si="202"/>
        <v>O</v>
      </c>
      <c r="V396" s="42" t="str">
        <f t="shared" si="203"/>
        <v>O</v>
      </c>
      <c r="W396" s="42" t="str">
        <f t="shared" si="204"/>
        <v>O</v>
      </c>
      <c r="X396" s="42" t="str">
        <f t="shared" si="205"/>
        <v>O</v>
      </c>
      <c r="Z396" s="42">
        <v>53.5</v>
      </c>
      <c r="AB396" s="42" t="str">
        <f t="shared" si="206"/>
        <v>TOR/CLE</v>
      </c>
      <c r="AC396" s="42">
        <f t="shared" si="207"/>
        <v>4</v>
      </c>
      <c r="AD396" s="42">
        <f t="shared" si="208"/>
        <v>0</v>
      </c>
    </row>
    <row r="397" spans="1:30" ht="17.100000000000001" x14ac:dyDescent="0.45">
      <c r="A397" s="42">
        <v>191217</v>
      </c>
      <c r="B397" s="44">
        <v>0.41666666666666669</v>
      </c>
      <c r="C397" s="42" t="s">
        <v>403</v>
      </c>
      <c r="D397" s="42" t="s">
        <v>426</v>
      </c>
      <c r="E397" s="42">
        <v>21</v>
      </c>
      <c r="F397" s="42">
        <v>32</v>
      </c>
      <c r="G397" s="42">
        <v>30</v>
      </c>
      <c r="H397" s="42">
        <v>26</v>
      </c>
      <c r="I397" s="42"/>
      <c r="J397" s="42">
        <v>35</v>
      </c>
      <c r="K397" s="42">
        <v>37</v>
      </c>
      <c r="L397" s="42">
        <v>17</v>
      </c>
      <c r="M397" s="42">
        <v>18</v>
      </c>
      <c r="N397" s="42" t="s">
        <v>427</v>
      </c>
      <c r="O397" s="42">
        <f t="shared" si="196"/>
        <v>109</v>
      </c>
      <c r="P397" s="42">
        <f t="shared" si="197"/>
        <v>107</v>
      </c>
      <c r="Q397" s="42" t="str">
        <f t="shared" si="198"/>
        <v>HL</v>
      </c>
      <c r="R397" s="42" t="str">
        <f t="shared" si="199"/>
        <v>HL</v>
      </c>
      <c r="S397" s="42" t="str">
        <f t="shared" si="200"/>
        <v>HW</v>
      </c>
      <c r="T397" s="42" t="str">
        <f t="shared" si="201"/>
        <v>HW</v>
      </c>
      <c r="U397" s="42" t="str">
        <f t="shared" si="202"/>
        <v>U</v>
      </c>
      <c r="V397" s="42" t="str">
        <f t="shared" si="203"/>
        <v>O</v>
      </c>
      <c r="W397" s="42" t="str">
        <f t="shared" si="204"/>
        <v>U</v>
      </c>
      <c r="X397" s="42" t="str">
        <f t="shared" si="205"/>
        <v>U</v>
      </c>
      <c r="Z397" s="42">
        <v>57</v>
      </c>
      <c r="AB397" s="42" t="str">
        <f t="shared" si="206"/>
        <v>HOU/SAS</v>
      </c>
      <c r="AC397" s="42">
        <f t="shared" si="207"/>
        <v>1</v>
      </c>
      <c r="AD397" s="42">
        <f t="shared" si="208"/>
        <v>3</v>
      </c>
    </row>
    <row r="398" spans="1:30" ht="17.100000000000001" x14ac:dyDescent="0.45">
      <c r="A398" s="42">
        <v>191217</v>
      </c>
      <c r="B398" s="44">
        <v>0.41666666666666669</v>
      </c>
      <c r="C398" s="42" t="s">
        <v>423</v>
      </c>
      <c r="D398" s="42" t="s">
        <v>397</v>
      </c>
      <c r="E398" s="42">
        <v>22</v>
      </c>
      <c r="F398" s="42">
        <v>34</v>
      </c>
      <c r="G398" s="42">
        <v>20</v>
      </c>
      <c r="H398" s="42">
        <v>40</v>
      </c>
      <c r="I398" s="42"/>
      <c r="J398" s="42">
        <v>36</v>
      </c>
      <c r="K398" s="42">
        <v>23</v>
      </c>
      <c r="L398" s="42">
        <v>27</v>
      </c>
      <c r="M398" s="42">
        <v>34</v>
      </c>
      <c r="N398" s="42" t="s">
        <v>427</v>
      </c>
      <c r="O398" s="42">
        <f t="shared" si="196"/>
        <v>116</v>
      </c>
      <c r="P398" s="42">
        <f t="shared" si="197"/>
        <v>120</v>
      </c>
      <c r="Q398" s="42" t="str">
        <f t="shared" si="198"/>
        <v>HL</v>
      </c>
      <c r="R398" s="42" t="str">
        <f t="shared" si="199"/>
        <v>HW</v>
      </c>
      <c r="S398" s="42" t="str">
        <f t="shared" si="200"/>
        <v>HL</v>
      </c>
      <c r="T398" s="42" t="str">
        <f t="shared" si="201"/>
        <v>HW</v>
      </c>
      <c r="U398" s="42" t="str">
        <f t="shared" si="202"/>
        <v>U</v>
      </c>
      <c r="V398" s="42" t="str">
        <f t="shared" si="203"/>
        <v>U</v>
      </c>
      <c r="W398" s="42" t="str">
        <f t="shared" si="204"/>
        <v>U</v>
      </c>
      <c r="X398" s="42" t="str">
        <f t="shared" si="205"/>
        <v>O</v>
      </c>
      <c r="Z398" s="42">
        <v>58.5</v>
      </c>
      <c r="AB398" s="42" t="str">
        <f t="shared" si="206"/>
        <v>MIL/DAL</v>
      </c>
      <c r="AC398" s="42">
        <f t="shared" si="207"/>
        <v>1</v>
      </c>
      <c r="AD398" s="42">
        <f t="shared" si="208"/>
        <v>3</v>
      </c>
    </row>
    <row r="399" spans="1:30" ht="17.100000000000001" x14ac:dyDescent="0.45">
      <c r="A399" s="42">
        <v>191217</v>
      </c>
      <c r="B399" s="44">
        <v>0.41666666666666669</v>
      </c>
      <c r="C399" s="42" t="s">
        <v>418</v>
      </c>
      <c r="D399" s="42" t="s">
        <v>412</v>
      </c>
      <c r="E399" s="42">
        <v>16</v>
      </c>
      <c r="F399" s="42">
        <v>33</v>
      </c>
      <c r="G399" s="42">
        <v>33</v>
      </c>
      <c r="H399" s="42">
        <v>27</v>
      </c>
      <c r="I399" s="42"/>
      <c r="J399" s="42">
        <v>37</v>
      </c>
      <c r="K399" s="42">
        <v>31</v>
      </c>
      <c r="L399" s="42">
        <v>22</v>
      </c>
      <c r="M399" s="42">
        <v>16</v>
      </c>
      <c r="N399" s="42" t="s">
        <v>427</v>
      </c>
      <c r="O399" s="42">
        <f t="shared" si="196"/>
        <v>109</v>
      </c>
      <c r="P399" s="42">
        <f t="shared" si="197"/>
        <v>106</v>
      </c>
      <c r="Q399" s="42" t="str">
        <f t="shared" si="198"/>
        <v>HL</v>
      </c>
      <c r="R399" s="42" t="str">
        <f t="shared" si="199"/>
        <v>HW</v>
      </c>
      <c r="S399" s="42" t="str">
        <f t="shared" si="200"/>
        <v>HW</v>
      </c>
      <c r="T399" s="42" t="str">
        <f t="shared" si="201"/>
        <v>HW</v>
      </c>
      <c r="U399" s="42" t="str">
        <f t="shared" si="202"/>
        <v>U</v>
      </c>
      <c r="V399" s="42" t="str">
        <f t="shared" si="203"/>
        <v>O</v>
      </c>
      <c r="W399" s="42" t="str">
        <f t="shared" si="204"/>
        <v>O</v>
      </c>
      <c r="X399" s="42" t="str">
        <f t="shared" si="205"/>
        <v>U</v>
      </c>
      <c r="Z399" s="42">
        <v>53.5</v>
      </c>
      <c r="AB399" s="42" t="str">
        <f t="shared" si="206"/>
        <v>OKC/CHI</v>
      </c>
      <c r="AC399" s="42">
        <f t="shared" si="207"/>
        <v>2</v>
      </c>
      <c r="AD399" s="42">
        <f t="shared" si="208"/>
        <v>2</v>
      </c>
    </row>
    <row r="400" spans="1:30" ht="17.100000000000001" x14ac:dyDescent="0.45">
      <c r="A400" s="42">
        <v>191217</v>
      </c>
      <c r="B400" s="44">
        <v>0.41666666666666669</v>
      </c>
      <c r="C400" s="42" t="s">
        <v>406</v>
      </c>
      <c r="D400" s="42" t="s">
        <v>411</v>
      </c>
      <c r="E400" s="42">
        <v>36</v>
      </c>
      <c r="F400" s="42">
        <v>37</v>
      </c>
      <c r="G400" s="42">
        <v>22</v>
      </c>
      <c r="H400" s="42">
        <v>23</v>
      </c>
      <c r="I400" s="42"/>
      <c r="J400" s="42">
        <v>32</v>
      </c>
      <c r="K400" s="42">
        <v>26</v>
      </c>
      <c r="L400" s="42">
        <v>28</v>
      </c>
      <c r="M400" s="42">
        <v>25</v>
      </c>
      <c r="N400" s="42" t="s">
        <v>427</v>
      </c>
      <c r="O400" s="42">
        <f t="shared" si="196"/>
        <v>118</v>
      </c>
      <c r="P400" s="42">
        <f t="shared" si="197"/>
        <v>111</v>
      </c>
      <c r="Q400" s="42" t="str">
        <f t="shared" si="198"/>
        <v>HW</v>
      </c>
      <c r="R400" s="42" t="str">
        <f t="shared" si="199"/>
        <v>HW</v>
      </c>
      <c r="S400" s="42" t="str">
        <f t="shared" si="200"/>
        <v>HL</v>
      </c>
      <c r="T400" s="42" t="str">
        <f t="shared" si="201"/>
        <v>HL</v>
      </c>
      <c r="U400" s="42" t="str">
        <f t="shared" si="202"/>
        <v>O</v>
      </c>
      <c r="V400" s="42" t="str">
        <f t="shared" si="203"/>
        <v>O</v>
      </c>
      <c r="W400" s="42" t="str">
        <f t="shared" si="204"/>
        <v>U</v>
      </c>
      <c r="X400" s="42" t="str">
        <f t="shared" si="205"/>
        <v>U</v>
      </c>
      <c r="Z400" s="42">
        <v>56</v>
      </c>
      <c r="AB400" s="42" t="str">
        <f t="shared" si="206"/>
        <v>MEM/MIA</v>
      </c>
      <c r="AC400" s="42">
        <f t="shared" si="207"/>
        <v>2</v>
      </c>
      <c r="AD400" s="42">
        <f t="shared" si="208"/>
        <v>2</v>
      </c>
    </row>
    <row r="401" spans="1:30" ht="17.100000000000001" x14ac:dyDescent="0.45">
      <c r="A401" s="42">
        <v>191217</v>
      </c>
      <c r="B401" s="44">
        <v>0.45833333333333331</v>
      </c>
      <c r="C401" s="42" t="s">
        <v>404</v>
      </c>
      <c r="D401" s="42" t="s">
        <v>417</v>
      </c>
      <c r="E401" s="42">
        <v>33</v>
      </c>
      <c r="F401" s="42">
        <v>34</v>
      </c>
      <c r="G401" s="42">
        <v>21</v>
      </c>
      <c r="H401" s="42">
        <v>22</v>
      </c>
      <c r="I401" s="42"/>
      <c r="J401" s="42">
        <v>25</v>
      </c>
      <c r="K401" s="42">
        <v>34</v>
      </c>
      <c r="L401" s="42">
        <v>31</v>
      </c>
      <c r="M401" s="42">
        <v>21</v>
      </c>
      <c r="N401" s="42" t="s">
        <v>427</v>
      </c>
      <c r="O401" s="42">
        <f t="shared" si="196"/>
        <v>110</v>
      </c>
      <c r="P401" s="42">
        <f t="shared" si="197"/>
        <v>111</v>
      </c>
      <c r="Q401" s="42" t="str">
        <f t="shared" si="198"/>
        <v>HW</v>
      </c>
      <c r="R401" s="42" t="str">
        <f t="shared" si="199"/>
        <v>TT</v>
      </c>
      <c r="S401" s="42" t="str">
        <f t="shared" si="200"/>
        <v>HL</v>
      </c>
      <c r="T401" s="42" t="str">
        <f t="shared" si="201"/>
        <v>HW</v>
      </c>
      <c r="U401" s="42" t="str">
        <f t="shared" si="202"/>
        <v>T</v>
      </c>
      <c r="V401" s="42" t="str">
        <f t="shared" si="203"/>
        <v>O</v>
      </c>
      <c r="W401" s="42" t="str">
        <f t="shared" si="204"/>
        <v>U</v>
      </c>
      <c r="X401" s="42" t="str">
        <f t="shared" si="205"/>
        <v>U</v>
      </c>
      <c r="Z401" s="42">
        <v>58</v>
      </c>
      <c r="AB401" s="42" t="str">
        <f t="shared" si="206"/>
        <v>PHO/POR</v>
      </c>
      <c r="AC401" s="42">
        <f t="shared" si="207"/>
        <v>1</v>
      </c>
      <c r="AD401" s="42">
        <f t="shared" si="208"/>
        <v>2</v>
      </c>
    </row>
    <row r="402" spans="1:30" ht="17.100000000000001" x14ac:dyDescent="0.45">
      <c r="A402" s="42">
        <v>191218</v>
      </c>
      <c r="B402" s="44">
        <v>0.375</v>
      </c>
      <c r="C402" s="42" t="s">
        <v>400</v>
      </c>
      <c r="D402" s="42" t="s">
        <v>419</v>
      </c>
      <c r="E402" s="42">
        <v>24</v>
      </c>
      <c r="F402" s="42">
        <v>26</v>
      </c>
      <c r="G402" s="42">
        <v>28</v>
      </c>
      <c r="H402" s="42">
        <v>27</v>
      </c>
      <c r="I402" s="42"/>
      <c r="J402" s="42">
        <v>28</v>
      </c>
      <c r="K402" s="42">
        <v>24</v>
      </c>
      <c r="L402" s="42">
        <v>24</v>
      </c>
      <c r="M402" s="42">
        <v>26</v>
      </c>
      <c r="N402" s="42" t="s">
        <v>427</v>
      </c>
      <c r="O402" s="42">
        <f t="shared" si="196"/>
        <v>105</v>
      </c>
      <c r="P402" s="42">
        <f t="shared" si="197"/>
        <v>102</v>
      </c>
      <c r="Q402" s="42" t="str">
        <f t="shared" si="198"/>
        <v>HL</v>
      </c>
      <c r="R402" s="42" t="str">
        <f t="shared" si="199"/>
        <v>HW</v>
      </c>
      <c r="S402" s="42" t="str">
        <f t="shared" si="200"/>
        <v>HW</v>
      </c>
      <c r="T402" s="42" t="str">
        <f t="shared" si="201"/>
        <v>HW</v>
      </c>
      <c r="U402" s="42" t="str">
        <f t="shared" si="202"/>
        <v>U</v>
      </c>
      <c r="V402" s="42" t="str">
        <f t="shared" si="203"/>
        <v>U</v>
      </c>
      <c r="W402" s="42" t="str">
        <f t="shared" si="204"/>
        <v>U</v>
      </c>
      <c r="X402" s="42" t="str">
        <f t="shared" si="205"/>
        <v>U</v>
      </c>
      <c r="Z402" s="42">
        <v>54.5</v>
      </c>
      <c r="AB402" s="42" t="str">
        <f t="shared" si="206"/>
        <v>IND/LAL</v>
      </c>
      <c r="AC402" s="42">
        <f t="shared" si="207"/>
        <v>0</v>
      </c>
      <c r="AD402" s="42">
        <f t="shared" si="208"/>
        <v>4</v>
      </c>
    </row>
    <row r="403" spans="1:30" ht="17.100000000000001" x14ac:dyDescent="0.45">
      <c r="A403" s="42">
        <v>191218</v>
      </c>
      <c r="B403" s="44">
        <v>0.375</v>
      </c>
      <c r="C403" s="42" t="s">
        <v>409</v>
      </c>
      <c r="D403" s="42" t="s">
        <v>416</v>
      </c>
      <c r="E403" s="42">
        <v>26</v>
      </c>
      <c r="F403" s="42">
        <v>27</v>
      </c>
      <c r="G403" s="42">
        <v>27</v>
      </c>
      <c r="H403" s="42">
        <v>30</v>
      </c>
      <c r="I403" s="42"/>
      <c r="J403" s="42">
        <v>21</v>
      </c>
      <c r="K403" s="42">
        <v>26</v>
      </c>
      <c r="L403" s="42">
        <v>32</v>
      </c>
      <c r="M403" s="42">
        <v>23</v>
      </c>
      <c r="N403" s="42" t="s">
        <v>427</v>
      </c>
      <c r="O403" s="42">
        <f t="shared" si="196"/>
        <v>110</v>
      </c>
      <c r="P403" s="42">
        <f t="shared" si="197"/>
        <v>102</v>
      </c>
      <c r="Q403" s="42" t="str">
        <f t="shared" si="198"/>
        <v>HW</v>
      </c>
      <c r="R403" s="42" t="str">
        <f t="shared" si="199"/>
        <v>HW</v>
      </c>
      <c r="S403" s="42" t="str">
        <f t="shared" si="200"/>
        <v>HL</v>
      </c>
      <c r="T403" s="42" t="str">
        <f t="shared" si="201"/>
        <v>HW</v>
      </c>
      <c r="U403" s="42" t="str">
        <f t="shared" si="202"/>
        <v>U</v>
      </c>
      <c r="V403" s="42" t="str">
        <f t="shared" si="203"/>
        <v>U</v>
      </c>
      <c r="W403" s="42" t="str">
        <f t="shared" si="204"/>
        <v>O</v>
      </c>
      <c r="X403" s="42" t="str">
        <f t="shared" si="205"/>
        <v>U</v>
      </c>
      <c r="Z403" s="42">
        <v>54</v>
      </c>
      <c r="AB403" s="42" t="str">
        <f t="shared" si="206"/>
        <v>CHA/SAC</v>
      </c>
      <c r="AC403" s="42">
        <f t="shared" si="207"/>
        <v>1</v>
      </c>
      <c r="AD403" s="42">
        <f t="shared" si="208"/>
        <v>3</v>
      </c>
    </row>
    <row r="404" spans="1:30" ht="17.100000000000001" x14ac:dyDescent="0.45">
      <c r="A404" s="42">
        <v>191218</v>
      </c>
      <c r="B404" s="44">
        <v>0.39583333333333331</v>
      </c>
      <c r="C404" s="42" t="s">
        <v>399</v>
      </c>
      <c r="D404" s="42" t="s">
        <v>410</v>
      </c>
      <c r="E404" s="42">
        <v>41</v>
      </c>
      <c r="F404" s="42">
        <v>36</v>
      </c>
      <c r="G404" s="42">
        <v>32</v>
      </c>
      <c r="H404" s="42">
        <v>34</v>
      </c>
      <c r="I404" s="42"/>
      <c r="J404" s="42">
        <v>27</v>
      </c>
      <c r="K404" s="42">
        <v>26</v>
      </c>
      <c r="L404" s="42">
        <v>31</v>
      </c>
      <c r="M404" s="42">
        <v>36</v>
      </c>
      <c r="N404" s="42" t="s">
        <v>427</v>
      </c>
      <c r="O404" s="42">
        <f t="shared" si="196"/>
        <v>143</v>
      </c>
      <c r="P404" s="42">
        <f t="shared" si="197"/>
        <v>120</v>
      </c>
      <c r="Q404" s="42" t="str">
        <f t="shared" si="198"/>
        <v>HW</v>
      </c>
      <c r="R404" s="42" t="str">
        <f t="shared" si="199"/>
        <v>HW</v>
      </c>
      <c r="S404" s="42" t="str">
        <f t="shared" si="200"/>
        <v>HW</v>
      </c>
      <c r="T404" s="42" t="str">
        <f t="shared" si="201"/>
        <v>HL</v>
      </c>
      <c r="U404" s="42" t="str">
        <f t="shared" si="202"/>
        <v>O</v>
      </c>
      <c r="V404" s="42" t="str">
        <f t="shared" si="203"/>
        <v>O</v>
      </c>
      <c r="W404" s="42" t="str">
        <f t="shared" si="204"/>
        <v>O</v>
      </c>
      <c r="X404" s="42" t="str">
        <f t="shared" si="205"/>
        <v>O</v>
      </c>
      <c r="Z404" s="42">
        <v>58</v>
      </c>
      <c r="AB404" s="42" t="str">
        <f t="shared" si="206"/>
        <v>NYK/ATL</v>
      </c>
      <c r="AC404" s="42">
        <f t="shared" si="207"/>
        <v>4</v>
      </c>
      <c r="AD404" s="42">
        <f t="shared" si="208"/>
        <v>0</v>
      </c>
    </row>
    <row r="405" spans="1:30" ht="17.100000000000001" x14ac:dyDescent="0.45">
      <c r="A405" s="42">
        <v>191218</v>
      </c>
      <c r="B405" s="44">
        <v>0.41666666666666669</v>
      </c>
      <c r="C405" s="42" t="s">
        <v>398</v>
      </c>
      <c r="D405" s="42" t="s">
        <v>407</v>
      </c>
      <c r="E405" s="42">
        <v>21</v>
      </c>
      <c r="F405" s="42">
        <v>14</v>
      </c>
      <c r="G405" s="42">
        <v>29</v>
      </c>
      <c r="H405" s="42">
        <v>29</v>
      </c>
      <c r="I405" s="42">
        <v>8</v>
      </c>
      <c r="J405" s="42">
        <v>21</v>
      </c>
      <c r="K405" s="42">
        <v>21</v>
      </c>
      <c r="L405" s="42">
        <v>19</v>
      </c>
      <c r="M405" s="42">
        <v>32</v>
      </c>
      <c r="N405" s="42">
        <v>15</v>
      </c>
      <c r="O405" s="42">
        <f t="shared" si="196"/>
        <v>101</v>
      </c>
      <c r="P405" s="42">
        <f t="shared" si="197"/>
        <v>108</v>
      </c>
      <c r="Q405" s="42" t="str">
        <f t="shared" si="198"/>
        <v>TT</v>
      </c>
      <c r="R405" s="42" t="str">
        <f t="shared" si="199"/>
        <v>HL</v>
      </c>
      <c r="S405" s="42" t="str">
        <f t="shared" si="200"/>
        <v>HW</v>
      </c>
      <c r="T405" s="42" t="str">
        <f t="shared" si="201"/>
        <v>HL</v>
      </c>
      <c r="U405" s="42" t="str">
        <f t="shared" si="202"/>
        <v>U</v>
      </c>
      <c r="V405" s="42" t="str">
        <f t="shared" si="203"/>
        <v>U</v>
      </c>
      <c r="W405" s="42" t="str">
        <f t="shared" si="204"/>
        <v>U</v>
      </c>
      <c r="X405" s="42" t="str">
        <f t="shared" si="205"/>
        <v>O</v>
      </c>
      <c r="Z405" s="42">
        <v>56</v>
      </c>
      <c r="AB405" s="42" t="str">
        <f t="shared" si="206"/>
        <v>NO/BKN</v>
      </c>
      <c r="AC405" s="42">
        <f t="shared" si="207"/>
        <v>1</v>
      </c>
      <c r="AD405" s="42">
        <f t="shared" si="208"/>
        <v>3</v>
      </c>
    </row>
    <row r="406" spans="1:30" ht="17.100000000000001" x14ac:dyDescent="0.45">
      <c r="A406" s="42">
        <v>191218</v>
      </c>
      <c r="B406" s="44">
        <v>0.45833333333333331</v>
      </c>
      <c r="C406" s="42" t="s">
        <v>405</v>
      </c>
      <c r="D406" s="42" t="s">
        <v>424</v>
      </c>
      <c r="E406" s="42">
        <v>26</v>
      </c>
      <c r="F406" s="42">
        <v>32</v>
      </c>
      <c r="G406" s="42">
        <v>24</v>
      </c>
      <c r="H406" s="42">
        <v>27</v>
      </c>
      <c r="I406" s="42"/>
      <c r="J406" s="42">
        <v>20</v>
      </c>
      <c r="K406" s="42">
        <v>27</v>
      </c>
      <c r="L406" s="42">
        <v>24</v>
      </c>
      <c r="M406" s="42">
        <v>31</v>
      </c>
      <c r="N406" s="42" t="s">
        <v>427</v>
      </c>
      <c r="O406" s="42">
        <f t="shared" si="196"/>
        <v>109</v>
      </c>
      <c r="P406" s="42">
        <f t="shared" si="197"/>
        <v>102</v>
      </c>
      <c r="Q406" s="42" t="str">
        <f t="shared" si="198"/>
        <v>HW</v>
      </c>
      <c r="R406" s="42" t="str">
        <f t="shared" si="199"/>
        <v>HW</v>
      </c>
      <c r="S406" s="42" t="str">
        <f t="shared" si="200"/>
        <v>TT</v>
      </c>
      <c r="T406" s="42" t="str">
        <f t="shared" si="201"/>
        <v>HL</v>
      </c>
      <c r="U406" s="42" t="str">
        <f t="shared" si="202"/>
        <v>U</v>
      </c>
      <c r="V406" s="42" t="str">
        <f t="shared" si="203"/>
        <v>O</v>
      </c>
      <c r="W406" s="42" t="str">
        <f t="shared" si="204"/>
        <v>U</v>
      </c>
      <c r="X406" s="42" t="str">
        <f t="shared" si="205"/>
        <v>O</v>
      </c>
      <c r="Z406" s="42">
        <v>53.5</v>
      </c>
      <c r="AB406" s="42" t="str">
        <f t="shared" si="206"/>
        <v>UTA/ORL</v>
      </c>
      <c r="AC406" s="42">
        <f t="shared" si="207"/>
        <v>2</v>
      </c>
      <c r="AD406" s="42">
        <f t="shared" si="208"/>
        <v>2</v>
      </c>
    </row>
    <row r="407" spans="1:30" ht="17.100000000000001" x14ac:dyDescent="0.45">
      <c r="A407" s="42">
        <v>191218</v>
      </c>
      <c r="B407" s="44">
        <v>0.52083333333333337</v>
      </c>
      <c r="C407" s="42" t="s">
        <v>415</v>
      </c>
      <c r="D407" s="42" t="s">
        <v>404</v>
      </c>
      <c r="E407" s="42">
        <v>31</v>
      </c>
      <c r="F407" s="42">
        <v>23</v>
      </c>
      <c r="G407" s="42">
        <v>36</v>
      </c>
      <c r="H407" s="42">
        <v>30</v>
      </c>
      <c r="I407" s="42"/>
      <c r="J407" s="42">
        <v>23</v>
      </c>
      <c r="K407" s="42">
        <v>21</v>
      </c>
      <c r="L407" s="42">
        <v>25</v>
      </c>
      <c r="M407" s="42">
        <v>30</v>
      </c>
      <c r="N407" s="42" t="s">
        <v>427</v>
      </c>
      <c r="O407" s="42">
        <f t="shared" si="196"/>
        <v>120</v>
      </c>
      <c r="P407" s="42">
        <f t="shared" si="197"/>
        <v>99</v>
      </c>
      <c r="Q407" s="42" t="str">
        <f t="shared" si="198"/>
        <v>HW</v>
      </c>
      <c r="R407" s="42" t="str">
        <f t="shared" si="199"/>
        <v>HW</v>
      </c>
      <c r="S407" s="42" t="str">
        <f t="shared" si="200"/>
        <v>HW</v>
      </c>
      <c r="T407" s="42" t="str">
        <f t="shared" si="201"/>
        <v>TT</v>
      </c>
      <c r="U407" s="42" t="str">
        <f t="shared" si="202"/>
        <v>U</v>
      </c>
      <c r="V407" s="42" t="str">
        <f t="shared" si="203"/>
        <v>U</v>
      </c>
      <c r="W407" s="42" t="str">
        <f t="shared" si="204"/>
        <v>O</v>
      </c>
      <c r="X407" s="42" t="str">
        <f t="shared" si="205"/>
        <v>O</v>
      </c>
      <c r="Z407" s="42">
        <v>55.5</v>
      </c>
      <c r="AB407" s="42" t="str">
        <f t="shared" si="206"/>
        <v>LAC/PHO</v>
      </c>
      <c r="AC407" s="42">
        <f t="shared" si="207"/>
        <v>2</v>
      </c>
      <c r="AD407" s="42">
        <f t="shared" si="208"/>
        <v>2</v>
      </c>
    </row>
    <row r="408" spans="1:30" ht="17.100000000000001" x14ac:dyDescent="0.45">
      <c r="A408" s="74">
        <v>191219</v>
      </c>
      <c r="B408" s="44">
        <v>0.375</v>
      </c>
      <c r="C408" s="74" t="s">
        <v>402</v>
      </c>
      <c r="D408" s="74" t="s">
        <v>409</v>
      </c>
      <c r="E408" s="74">
        <v>29</v>
      </c>
      <c r="F408" s="74">
        <v>24</v>
      </c>
      <c r="G408" s="74">
        <v>23</v>
      </c>
      <c r="H408" s="74">
        <v>24</v>
      </c>
      <c r="I408" s="74"/>
      <c r="J408" s="74">
        <v>21</v>
      </c>
      <c r="K408" s="74">
        <v>20</v>
      </c>
      <c r="L408" s="74">
        <v>23</v>
      </c>
      <c r="M408" s="74">
        <v>34</v>
      </c>
      <c r="N408" s="74" t="s">
        <v>427</v>
      </c>
      <c r="O408" s="74">
        <f t="shared" ref="O408:O430" si="209">SUM(E408:I408)</f>
        <v>100</v>
      </c>
      <c r="P408" s="74">
        <f t="shared" ref="P408:P430" si="210">SUM(J408:N408)</f>
        <v>98</v>
      </c>
      <c r="Q408" s="74" t="str">
        <f t="shared" ref="Q408:Q430" si="211">IF(E408=J408,"TT",IF(E408&gt;J408,"HW","HL"))</f>
        <v>HW</v>
      </c>
      <c r="R408" s="74" t="str">
        <f t="shared" ref="R408:R430" si="212">IF(F408=K408,"TT",IF(F408&gt;K408,"HW","HL"))</f>
        <v>HW</v>
      </c>
      <c r="S408" s="74" t="str">
        <f t="shared" ref="S408:S430" si="213">IF(G408=L408,"TT",IF(G408&gt;L408,"HW","HL"))</f>
        <v>TT</v>
      </c>
      <c r="T408" s="74" t="str">
        <f t="shared" ref="T408:T430" si="214">IF(H408=M408,"TT",IF(H408&gt;M408,"HW","HL"))</f>
        <v>HL</v>
      </c>
      <c r="U408" s="74" t="str">
        <f t="shared" ref="U408:U430" si="215">IF(SUM(E408,J408)=$Z408,"T",IF(SUM(E408,J408)&gt;$Z408,"O","U"))</f>
        <v>U</v>
      </c>
      <c r="V408" s="74" t="str">
        <f t="shared" ref="V408:V430" si="216">IF(SUM(F408,K408)=$Z408,"T",IF(SUM(F408,K408)&gt;$Z408,"O","U"))</f>
        <v>U</v>
      </c>
      <c r="W408" s="74" t="str">
        <f t="shared" ref="W408:W430" si="217">IF(SUM(G408,L408)=$Z408,"T",IF(SUM(G408,L408)&gt;$Z408,"O","U"))</f>
        <v>U</v>
      </c>
      <c r="X408" s="74" t="str">
        <f t="shared" ref="X408:X430" si="218">IF(SUM(H408,M408)=$Z408,"T",IF(SUM(H408,M408)&gt;$Z408,"O","U"))</f>
        <v>O</v>
      </c>
      <c r="Y408" s="74"/>
      <c r="Z408" s="74">
        <v>54.5</v>
      </c>
      <c r="AB408" s="74" t="str">
        <f t="shared" ref="AB408:AB430" si="219">C408&amp;"/"&amp;D408</f>
        <v>CLE/CHA</v>
      </c>
      <c r="AC408" s="74">
        <f t="shared" ref="AC408:AC430" si="220">COUNTIF(U408:X408,"o")</f>
        <v>1</v>
      </c>
      <c r="AD408" s="74">
        <f t="shared" ref="AD408:AD430" si="221">COUNTIF(U408:X408,"u")</f>
        <v>3</v>
      </c>
    </row>
    <row r="409" spans="1:30" ht="17.100000000000001" x14ac:dyDescent="0.45">
      <c r="A409" s="74">
        <v>191219</v>
      </c>
      <c r="B409" s="44">
        <v>0.375</v>
      </c>
      <c r="C409" s="15" t="s">
        <v>422</v>
      </c>
      <c r="D409" s="15" t="s">
        <v>413</v>
      </c>
      <c r="E409" s="74">
        <v>29</v>
      </c>
      <c r="F409" s="74">
        <v>35</v>
      </c>
      <c r="G409" s="74">
        <v>15</v>
      </c>
      <c r="H409" s="74">
        <v>20</v>
      </c>
      <c r="I409" s="74"/>
      <c r="J409" s="74">
        <v>30</v>
      </c>
      <c r="K409" s="74">
        <v>40</v>
      </c>
      <c r="L409" s="74">
        <v>26</v>
      </c>
      <c r="M409" s="74">
        <v>16</v>
      </c>
      <c r="N409" s="74" t="s">
        <v>427</v>
      </c>
      <c r="O409" s="74">
        <f t="shared" si="209"/>
        <v>99</v>
      </c>
      <c r="P409" s="74">
        <f t="shared" si="210"/>
        <v>112</v>
      </c>
      <c r="Q409" s="74" t="str">
        <f t="shared" si="211"/>
        <v>HL</v>
      </c>
      <c r="R409" s="74" t="str">
        <f t="shared" si="212"/>
        <v>HL</v>
      </c>
      <c r="S409" s="74" t="str">
        <f t="shared" si="213"/>
        <v>HL</v>
      </c>
      <c r="T409" s="74" t="str">
        <f t="shared" si="214"/>
        <v>HW</v>
      </c>
      <c r="U409" s="74" t="str">
        <f t="shared" si="215"/>
        <v>O</v>
      </c>
      <c r="V409" s="74" t="str">
        <f t="shared" si="216"/>
        <v>O</v>
      </c>
      <c r="W409" s="74" t="str">
        <f t="shared" si="217"/>
        <v>U</v>
      </c>
      <c r="X409" s="74" t="str">
        <f t="shared" si="218"/>
        <v>U</v>
      </c>
      <c r="Y409" s="74"/>
      <c r="Z409" s="74">
        <v>56</v>
      </c>
      <c r="AB409" s="74" t="str">
        <f t="shared" si="219"/>
        <v>DET/TOR</v>
      </c>
      <c r="AC409" s="74">
        <f t="shared" si="220"/>
        <v>2</v>
      </c>
      <c r="AD409" s="74">
        <f t="shared" si="221"/>
        <v>2</v>
      </c>
    </row>
    <row r="410" spans="1:30" ht="17.100000000000001" x14ac:dyDescent="0.45">
      <c r="A410" s="74">
        <v>191219</v>
      </c>
      <c r="B410" s="44">
        <v>0.375</v>
      </c>
      <c r="C410" s="15" t="s">
        <v>401</v>
      </c>
      <c r="D410" s="15" t="s">
        <v>411</v>
      </c>
      <c r="E410" s="74">
        <v>29</v>
      </c>
      <c r="F410" s="74">
        <v>19</v>
      </c>
      <c r="G410" s="74">
        <v>26</v>
      </c>
      <c r="H410" s="74">
        <v>30</v>
      </c>
      <c r="I410" s="74"/>
      <c r="J410" s="74">
        <v>19</v>
      </c>
      <c r="K410" s="74">
        <v>37</v>
      </c>
      <c r="L410" s="74">
        <v>26</v>
      </c>
      <c r="M410" s="74">
        <v>26</v>
      </c>
      <c r="N410" s="74" t="s">
        <v>427</v>
      </c>
      <c r="O410" s="74">
        <f t="shared" si="209"/>
        <v>104</v>
      </c>
      <c r="P410" s="74">
        <f t="shared" si="210"/>
        <v>108</v>
      </c>
      <c r="Q410" s="74" t="str">
        <f t="shared" si="211"/>
        <v>HW</v>
      </c>
      <c r="R410" s="74" t="str">
        <f t="shared" si="212"/>
        <v>HL</v>
      </c>
      <c r="S410" s="74" t="str">
        <f t="shared" si="213"/>
        <v>TT</v>
      </c>
      <c r="T410" s="74" t="str">
        <f t="shared" si="214"/>
        <v>HW</v>
      </c>
      <c r="U410" s="74" t="str">
        <f t="shared" si="215"/>
        <v>U</v>
      </c>
      <c r="V410" s="74" t="str">
        <f t="shared" si="216"/>
        <v>O</v>
      </c>
      <c r="W410" s="74" t="str">
        <f t="shared" si="217"/>
        <v>U</v>
      </c>
      <c r="X410" s="74" t="str">
        <f t="shared" si="218"/>
        <v>O</v>
      </c>
      <c r="Y410" s="74"/>
      <c r="Z410" s="74">
        <v>54.5</v>
      </c>
      <c r="AB410" s="74" t="str">
        <f t="shared" si="219"/>
        <v>PHI/MIA</v>
      </c>
      <c r="AC410" s="74">
        <f t="shared" si="220"/>
        <v>2</v>
      </c>
      <c r="AD410" s="74">
        <f t="shared" si="221"/>
        <v>2</v>
      </c>
    </row>
    <row r="411" spans="1:30" ht="17.100000000000001" x14ac:dyDescent="0.45">
      <c r="A411" s="74">
        <v>191219</v>
      </c>
      <c r="B411" s="44">
        <v>0.375</v>
      </c>
      <c r="C411" s="74" t="s">
        <v>414</v>
      </c>
      <c r="D411" s="74" t="s">
        <v>412</v>
      </c>
      <c r="E411" s="74">
        <v>27</v>
      </c>
      <c r="F411" s="74">
        <v>31</v>
      </c>
      <c r="G411" s="74">
        <v>27</v>
      </c>
      <c r="H411" s="74">
        <v>13</v>
      </c>
      <c r="I411" s="74">
        <v>11</v>
      </c>
      <c r="J411" s="74">
        <v>23</v>
      </c>
      <c r="K411" s="74">
        <v>29</v>
      </c>
      <c r="L411" s="74">
        <v>21</v>
      </c>
      <c r="M411" s="74">
        <v>25</v>
      </c>
      <c r="N411" s="74">
        <v>12</v>
      </c>
      <c r="O411" s="74">
        <f t="shared" si="209"/>
        <v>109</v>
      </c>
      <c r="P411" s="74">
        <f t="shared" si="210"/>
        <v>110</v>
      </c>
      <c r="Q411" s="74" t="str">
        <f t="shared" si="211"/>
        <v>HW</v>
      </c>
      <c r="R411" s="74" t="str">
        <f t="shared" si="212"/>
        <v>HW</v>
      </c>
      <c r="S411" s="74" t="str">
        <f t="shared" si="213"/>
        <v>HW</v>
      </c>
      <c r="T411" s="74" t="str">
        <f t="shared" si="214"/>
        <v>HL</v>
      </c>
      <c r="U411" s="74" t="str">
        <f t="shared" si="215"/>
        <v>U</v>
      </c>
      <c r="V411" s="74" t="str">
        <f t="shared" si="216"/>
        <v>O</v>
      </c>
      <c r="W411" s="74" t="str">
        <f t="shared" si="217"/>
        <v>U</v>
      </c>
      <c r="X411" s="74" t="str">
        <f t="shared" si="218"/>
        <v>U</v>
      </c>
      <c r="Y411" s="74"/>
      <c r="Z411" s="74">
        <v>59</v>
      </c>
      <c r="AB411" s="74" t="str">
        <f t="shared" si="219"/>
        <v>WAS/CHI</v>
      </c>
      <c r="AC411" s="74">
        <f t="shared" si="220"/>
        <v>1</v>
      </c>
      <c r="AD411" s="74">
        <f t="shared" si="221"/>
        <v>3</v>
      </c>
    </row>
    <row r="412" spans="1:30" ht="17.100000000000001" x14ac:dyDescent="0.45">
      <c r="A412" s="74">
        <v>191219</v>
      </c>
      <c r="B412" s="44">
        <v>0.41666666666666669</v>
      </c>
      <c r="C412" s="15" t="s">
        <v>420</v>
      </c>
      <c r="D412" s="13" t="s">
        <v>398</v>
      </c>
      <c r="E412" s="74">
        <v>25</v>
      </c>
      <c r="F412" s="74">
        <v>25</v>
      </c>
      <c r="G412" s="74">
        <v>22</v>
      </c>
      <c r="H412" s="74">
        <v>27</v>
      </c>
      <c r="I412" s="74"/>
      <c r="J412" s="74">
        <v>32</v>
      </c>
      <c r="K412" s="74">
        <v>31</v>
      </c>
      <c r="L412" s="74">
        <v>24</v>
      </c>
      <c r="M412" s="74">
        <v>20</v>
      </c>
      <c r="N412" s="74" t="s">
        <v>427</v>
      </c>
      <c r="O412" s="74">
        <f t="shared" si="209"/>
        <v>99</v>
      </c>
      <c r="P412" s="74">
        <f t="shared" si="210"/>
        <v>107</v>
      </c>
      <c r="Q412" s="74" t="str">
        <f t="shared" si="211"/>
        <v>HL</v>
      </c>
      <c r="R412" s="74" t="str">
        <f t="shared" si="212"/>
        <v>HL</v>
      </c>
      <c r="S412" s="74" t="str">
        <f t="shared" si="213"/>
        <v>HL</v>
      </c>
      <c r="T412" s="74" t="str">
        <f t="shared" si="214"/>
        <v>HW</v>
      </c>
      <c r="U412" s="74" t="str">
        <f t="shared" si="215"/>
        <v>U</v>
      </c>
      <c r="V412" s="74" t="str">
        <f t="shared" si="216"/>
        <v>U</v>
      </c>
      <c r="W412" s="74" t="str">
        <f t="shared" si="217"/>
        <v>U</v>
      </c>
      <c r="X412" s="74" t="str">
        <f t="shared" si="218"/>
        <v>U</v>
      </c>
      <c r="Y412" s="74"/>
      <c r="Z412" s="74">
        <v>59</v>
      </c>
      <c r="AB412" s="74" t="str">
        <f t="shared" si="219"/>
        <v>MIN/NO</v>
      </c>
      <c r="AC412" s="74">
        <f t="shared" si="220"/>
        <v>0</v>
      </c>
      <c r="AD412" s="74">
        <f t="shared" si="221"/>
        <v>4</v>
      </c>
    </row>
    <row r="413" spans="1:30" ht="17.100000000000001" x14ac:dyDescent="0.45">
      <c r="A413" s="74">
        <v>191219</v>
      </c>
      <c r="B413" s="44">
        <v>0.41666666666666669</v>
      </c>
      <c r="C413" s="5" t="s">
        <v>418</v>
      </c>
      <c r="D413" s="5" t="s">
        <v>406</v>
      </c>
      <c r="E413" s="74">
        <v>27</v>
      </c>
      <c r="F413" s="74">
        <v>32</v>
      </c>
      <c r="G413" s="74">
        <v>34</v>
      </c>
      <c r="H413" s="74">
        <v>33</v>
      </c>
      <c r="I413" s="74"/>
      <c r="J413" s="74">
        <v>32</v>
      </c>
      <c r="K413" s="74">
        <v>36</v>
      </c>
      <c r="L413" s="74">
        <v>32</v>
      </c>
      <c r="M413" s="74">
        <v>22</v>
      </c>
      <c r="N413" s="74" t="s">
        <v>427</v>
      </c>
      <c r="O413" s="74">
        <f t="shared" si="209"/>
        <v>126</v>
      </c>
      <c r="P413" s="74">
        <f t="shared" si="210"/>
        <v>122</v>
      </c>
      <c r="Q413" s="74" t="str">
        <f t="shared" si="211"/>
        <v>HL</v>
      </c>
      <c r="R413" s="74" t="str">
        <f t="shared" si="212"/>
        <v>HL</v>
      </c>
      <c r="S413" s="74" t="str">
        <f t="shared" si="213"/>
        <v>HW</v>
      </c>
      <c r="T413" s="74" t="str">
        <f t="shared" si="214"/>
        <v>HW</v>
      </c>
      <c r="U413" s="74" t="str">
        <f t="shared" si="215"/>
        <v>O</v>
      </c>
      <c r="V413" s="74" t="str">
        <f t="shared" si="216"/>
        <v>O</v>
      </c>
      <c r="W413" s="74" t="str">
        <f t="shared" si="217"/>
        <v>O</v>
      </c>
      <c r="X413" s="74" t="str">
        <f t="shared" si="218"/>
        <v>O</v>
      </c>
      <c r="Y413" s="74"/>
      <c r="Z413" s="74">
        <v>54</v>
      </c>
      <c r="AB413" s="74" t="str">
        <f t="shared" si="219"/>
        <v>OKC/MEM</v>
      </c>
      <c r="AC413" s="74">
        <f t="shared" si="220"/>
        <v>4</v>
      </c>
      <c r="AD413" s="74">
        <f t="shared" si="221"/>
        <v>0</v>
      </c>
    </row>
    <row r="414" spans="1:30" ht="17.100000000000001" x14ac:dyDescent="0.45">
      <c r="A414" s="74">
        <v>191219</v>
      </c>
      <c r="B414" s="44">
        <v>0.45833333333333331</v>
      </c>
      <c r="C414" s="13" t="s">
        <v>46</v>
      </c>
      <c r="D414" s="15" t="s">
        <v>424</v>
      </c>
      <c r="E414" s="74">
        <v>27</v>
      </c>
      <c r="F414" s="74">
        <v>18</v>
      </c>
      <c r="G414" s="74">
        <v>39</v>
      </c>
      <c r="H414" s="74">
        <v>29</v>
      </c>
      <c r="I414" s="74"/>
      <c r="J414" s="74">
        <v>32</v>
      </c>
      <c r="K414" s="74">
        <v>28</v>
      </c>
      <c r="L414" s="74">
        <v>16</v>
      </c>
      <c r="M414" s="74">
        <v>28</v>
      </c>
      <c r="N414" s="74" t="s">
        <v>427</v>
      </c>
      <c r="O414" s="74">
        <f t="shared" si="209"/>
        <v>113</v>
      </c>
      <c r="P414" s="74">
        <f t="shared" si="210"/>
        <v>104</v>
      </c>
      <c r="Q414" s="74" t="str">
        <f t="shared" si="211"/>
        <v>HL</v>
      </c>
      <c r="R414" s="74" t="str">
        <f t="shared" si="212"/>
        <v>HL</v>
      </c>
      <c r="S414" s="74" t="str">
        <f t="shared" si="213"/>
        <v>HW</v>
      </c>
      <c r="T414" s="74" t="str">
        <f t="shared" si="214"/>
        <v>HW</v>
      </c>
      <c r="U414" s="74" t="str">
        <f t="shared" si="215"/>
        <v>O</v>
      </c>
      <c r="V414" s="74" t="str">
        <f t="shared" si="216"/>
        <v>U</v>
      </c>
      <c r="W414" s="74" t="str">
        <f t="shared" si="217"/>
        <v>O</v>
      </c>
      <c r="X414" s="74" t="str">
        <f t="shared" si="218"/>
        <v>O</v>
      </c>
      <c r="Y414" s="74"/>
      <c r="Z414" s="74">
        <v>52.5</v>
      </c>
      <c r="AB414" s="74" t="str">
        <f t="shared" si="219"/>
        <v>DEN/ORL</v>
      </c>
      <c r="AC414" s="74">
        <f t="shared" si="220"/>
        <v>3</v>
      </c>
      <c r="AD414" s="74">
        <f t="shared" si="221"/>
        <v>1</v>
      </c>
    </row>
    <row r="415" spans="1:30" ht="17.100000000000001" x14ac:dyDescent="0.45">
      <c r="A415" s="74">
        <v>191219</v>
      </c>
      <c r="B415" s="44">
        <v>0.47916666666666669</v>
      </c>
      <c r="C415" s="15" t="s">
        <v>98</v>
      </c>
      <c r="D415" s="48" t="s">
        <v>421</v>
      </c>
      <c r="E415" s="74">
        <v>29</v>
      </c>
      <c r="F415" s="74">
        <v>26</v>
      </c>
      <c r="G415" s="74">
        <v>18</v>
      </c>
      <c r="H415" s="74">
        <v>30</v>
      </c>
      <c r="I415" s="74"/>
      <c r="J415" s="74">
        <v>29</v>
      </c>
      <c r="K415" s="74">
        <v>21</v>
      </c>
      <c r="L415" s="74">
        <v>26</v>
      </c>
      <c r="M415" s="74">
        <v>33</v>
      </c>
      <c r="N415" s="74" t="s">
        <v>427</v>
      </c>
      <c r="O415" s="74">
        <f t="shared" si="209"/>
        <v>103</v>
      </c>
      <c r="P415" s="74">
        <f t="shared" si="210"/>
        <v>109</v>
      </c>
      <c r="Q415" s="74" t="str">
        <f t="shared" si="211"/>
        <v>TT</v>
      </c>
      <c r="R415" s="74" t="str">
        <f t="shared" si="212"/>
        <v>HW</v>
      </c>
      <c r="S415" s="74" t="str">
        <f t="shared" si="213"/>
        <v>HL</v>
      </c>
      <c r="T415" s="74" t="str">
        <f t="shared" si="214"/>
        <v>HL</v>
      </c>
      <c r="U415" s="74" t="str">
        <f t="shared" si="215"/>
        <v>O</v>
      </c>
      <c r="V415" s="74" t="str">
        <f t="shared" si="216"/>
        <v>U</v>
      </c>
      <c r="W415" s="74" t="str">
        <f t="shared" si="217"/>
        <v>U</v>
      </c>
      <c r="X415" s="74" t="str">
        <f t="shared" si="218"/>
        <v>O</v>
      </c>
      <c r="Y415" s="74"/>
      <c r="Z415" s="74">
        <v>52.5</v>
      </c>
      <c r="AB415" s="74" t="str">
        <f t="shared" si="219"/>
        <v>DAL/BOS</v>
      </c>
      <c r="AC415" s="74">
        <f t="shared" si="220"/>
        <v>2</v>
      </c>
      <c r="AD415" s="74">
        <f t="shared" si="221"/>
        <v>2</v>
      </c>
    </row>
    <row r="416" spans="1:30" x14ac:dyDescent="0.3">
      <c r="A416" s="74">
        <v>191219</v>
      </c>
      <c r="B416" s="44">
        <v>0.5</v>
      </c>
      <c r="C416" s="74" t="s">
        <v>417</v>
      </c>
      <c r="D416" s="74" t="s">
        <v>425</v>
      </c>
      <c r="E416" s="74">
        <v>40</v>
      </c>
      <c r="F416" s="74">
        <v>27</v>
      </c>
      <c r="G416" s="74">
        <v>30</v>
      </c>
      <c r="H416" s="74">
        <v>25</v>
      </c>
      <c r="I416" s="74"/>
      <c r="J416" s="74">
        <v>29</v>
      </c>
      <c r="K416" s="74">
        <v>37</v>
      </c>
      <c r="L416" s="74">
        <v>26</v>
      </c>
      <c r="M416" s="74">
        <v>20</v>
      </c>
      <c r="N416" s="74" t="s">
        <v>427</v>
      </c>
      <c r="O416" s="74">
        <f t="shared" si="209"/>
        <v>122</v>
      </c>
      <c r="P416" s="74">
        <f t="shared" si="210"/>
        <v>112</v>
      </c>
      <c r="Q416" s="74" t="str">
        <f t="shared" si="211"/>
        <v>HW</v>
      </c>
      <c r="R416" s="74" t="str">
        <f t="shared" si="212"/>
        <v>HL</v>
      </c>
      <c r="S416" s="74" t="str">
        <f t="shared" si="213"/>
        <v>HW</v>
      </c>
      <c r="T416" s="74" t="str">
        <f t="shared" si="214"/>
        <v>HW</v>
      </c>
      <c r="U416" s="74" t="str">
        <f t="shared" si="215"/>
        <v>O</v>
      </c>
      <c r="V416" s="74" t="str">
        <f t="shared" si="216"/>
        <v>O</v>
      </c>
      <c r="W416" s="74" t="str">
        <f t="shared" si="217"/>
        <v>U</v>
      </c>
      <c r="X416" s="74" t="str">
        <f t="shared" si="218"/>
        <v>U</v>
      </c>
      <c r="Y416" s="74"/>
      <c r="Z416" s="74">
        <v>56.5</v>
      </c>
      <c r="AB416" s="74" t="str">
        <f t="shared" si="219"/>
        <v>POR/GS</v>
      </c>
      <c r="AC416" s="74">
        <f t="shared" si="220"/>
        <v>2</v>
      </c>
      <c r="AD416" s="74">
        <f t="shared" si="221"/>
        <v>2</v>
      </c>
    </row>
    <row r="417" spans="1:30" x14ac:dyDescent="0.3">
      <c r="A417" s="74">
        <v>191220</v>
      </c>
      <c r="B417" s="75">
        <v>0.39583333333333331</v>
      </c>
      <c r="C417" s="74" t="s">
        <v>410</v>
      </c>
      <c r="D417" s="74" t="s">
        <v>405</v>
      </c>
      <c r="E417" s="74">
        <v>30</v>
      </c>
      <c r="F417" s="74">
        <v>26</v>
      </c>
      <c r="G417" s="74">
        <v>28</v>
      </c>
      <c r="H417" s="74">
        <v>22</v>
      </c>
      <c r="I417" s="74"/>
      <c r="J417" s="74">
        <v>28</v>
      </c>
      <c r="K417" s="74">
        <v>24</v>
      </c>
      <c r="L417" s="74">
        <v>31</v>
      </c>
      <c r="M417" s="74">
        <v>28</v>
      </c>
      <c r="N417" s="74" t="s">
        <v>427</v>
      </c>
      <c r="O417" s="74">
        <f t="shared" si="209"/>
        <v>106</v>
      </c>
      <c r="P417" s="74">
        <f t="shared" si="210"/>
        <v>111</v>
      </c>
      <c r="Q417" s="74" t="str">
        <f t="shared" si="211"/>
        <v>HW</v>
      </c>
      <c r="R417" s="74" t="str">
        <f t="shared" si="212"/>
        <v>HW</v>
      </c>
      <c r="S417" s="74" t="str">
        <f t="shared" si="213"/>
        <v>HL</v>
      </c>
      <c r="T417" s="74" t="str">
        <f t="shared" si="214"/>
        <v>HL</v>
      </c>
      <c r="U417" s="74" t="str">
        <f t="shared" si="215"/>
        <v>O</v>
      </c>
      <c r="V417" s="74" t="str">
        <f t="shared" si="216"/>
        <v>U</v>
      </c>
      <c r="W417" s="74" t="str">
        <f t="shared" si="217"/>
        <v>O</v>
      </c>
      <c r="X417" s="74" t="str">
        <f t="shared" si="218"/>
        <v>U</v>
      </c>
      <c r="Y417" s="74"/>
      <c r="Z417" s="74">
        <v>55</v>
      </c>
      <c r="AB417" s="74" t="str">
        <f t="shared" si="219"/>
        <v>ATL/UTA</v>
      </c>
      <c r="AC417" s="74">
        <f t="shared" si="220"/>
        <v>2</v>
      </c>
      <c r="AD417" s="74">
        <f t="shared" si="221"/>
        <v>2</v>
      </c>
    </row>
    <row r="418" spans="1:30" x14ac:dyDescent="0.3">
      <c r="A418" s="74">
        <v>191220</v>
      </c>
      <c r="B418" s="75">
        <v>0.41666666666666669</v>
      </c>
      <c r="C418" s="74" t="s">
        <v>423</v>
      </c>
      <c r="D418" s="74" t="s">
        <v>419</v>
      </c>
      <c r="E418" s="74">
        <v>23</v>
      </c>
      <c r="F418" s="74">
        <v>42</v>
      </c>
      <c r="G418" s="74">
        <v>24</v>
      </c>
      <c r="H418" s="74">
        <v>22</v>
      </c>
      <c r="I418" s="74"/>
      <c r="J418" s="74">
        <v>17</v>
      </c>
      <c r="K418" s="74">
        <v>29</v>
      </c>
      <c r="L418" s="74">
        <v>35</v>
      </c>
      <c r="M418" s="74">
        <v>23</v>
      </c>
      <c r="N418" s="74" t="s">
        <v>427</v>
      </c>
      <c r="O418" s="74">
        <f t="shared" si="209"/>
        <v>111</v>
      </c>
      <c r="P418" s="74">
        <f t="shared" si="210"/>
        <v>104</v>
      </c>
      <c r="Q418" s="74" t="str">
        <f t="shared" si="211"/>
        <v>HW</v>
      </c>
      <c r="R418" s="74" t="str">
        <f t="shared" si="212"/>
        <v>HW</v>
      </c>
      <c r="S418" s="74" t="str">
        <f t="shared" si="213"/>
        <v>HL</v>
      </c>
      <c r="T418" s="74" t="str">
        <f t="shared" si="214"/>
        <v>HL</v>
      </c>
      <c r="U418" s="74" t="str">
        <f t="shared" si="215"/>
        <v>U</v>
      </c>
      <c r="V418" s="74" t="str">
        <f t="shared" si="216"/>
        <v>O</v>
      </c>
      <c r="W418" s="74" t="str">
        <f t="shared" si="217"/>
        <v>O</v>
      </c>
      <c r="X418" s="74" t="str">
        <f t="shared" si="218"/>
        <v>U</v>
      </c>
      <c r="Y418" s="74"/>
      <c r="Z418" s="74">
        <v>58.5</v>
      </c>
      <c r="AB418" s="74" t="str">
        <f t="shared" si="219"/>
        <v>MIL/LAL</v>
      </c>
      <c r="AC418" s="74">
        <f t="shared" si="220"/>
        <v>2</v>
      </c>
      <c r="AD418" s="74">
        <f t="shared" si="221"/>
        <v>2</v>
      </c>
    </row>
    <row r="419" spans="1:30" x14ac:dyDescent="0.3">
      <c r="A419" s="74">
        <v>191220</v>
      </c>
      <c r="B419" s="75">
        <v>0.4375</v>
      </c>
      <c r="C419" s="74" t="s">
        <v>426</v>
      </c>
      <c r="D419" s="74" t="s">
        <v>407</v>
      </c>
      <c r="E419" s="74">
        <v>27</v>
      </c>
      <c r="F419" s="74">
        <v>23</v>
      </c>
      <c r="G419" s="74">
        <v>33</v>
      </c>
      <c r="H419" s="74">
        <v>35</v>
      </c>
      <c r="I419" s="74"/>
      <c r="J419" s="74">
        <v>33</v>
      </c>
      <c r="K419" s="74">
        <v>23</v>
      </c>
      <c r="L419" s="74">
        <v>25</v>
      </c>
      <c r="M419" s="74">
        <v>24</v>
      </c>
      <c r="N419" s="74" t="s">
        <v>427</v>
      </c>
      <c r="O419" s="74">
        <f t="shared" si="209"/>
        <v>118</v>
      </c>
      <c r="P419" s="74">
        <f t="shared" si="210"/>
        <v>105</v>
      </c>
      <c r="Q419" s="74" t="str">
        <f t="shared" si="211"/>
        <v>HL</v>
      </c>
      <c r="R419" s="74" t="str">
        <f t="shared" si="212"/>
        <v>TT</v>
      </c>
      <c r="S419" s="74" t="str">
        <f t="shared" si="213"/>
        <v>HW</v>
      </c>
      <c r="T419" s="74" t="str">
        <f t="shared" si="214"/>
        <v>HW</v>
      </c>
      <c r="U419" s="74" t="str">
        <f t="shared" si="215"/>
        <v>O</v>
      </c>
      <c r="V419" s="74" t="str">
        <f t="shared" si="216"/>
        <v>U</v>
      </c>
      <c r="W419" s="74" t="str">
        <f t="shared" si="217"/>
        <v>O</v>
      </c>
      <c r="X419" s="74" t="str">
        <f t="shared" si="218"/>
        <v>O</v>
      </c>
      <c r="Y419" s="74"/>
      <c r="Z419" s="74">
        <v>53.5</v>
      </c>
      <c r="AB419" s="74" t="str">
        <f t="shared" si="219"/>
        <v>SAS/BKN</v>
      </c>
      <c r="AC419" s="74">
        <f t="shared" si="220"/>
        <v>3</v>
      </c>
      <c r="AD419" s="74">
        <f t="shared" si="221"/>
        <v>1</v>
      </c>
    </row>
    <row r="420" spans="1:30" x14ac:dyDescent="0.3">
      <c r="A420" s="74">
        <v>191220</v>
      </c>
      <c r="B420" s="75">
        <v>0.52083333333333337</v>
      </c>
      <c r="C420" s="74" t="s">
        <v>415</v>
      </c>
      <c r="D420" s="74" t="s">
        <v>403</v>
      </c>
      <c r="E420" s="74">
        <v>28</v>
      </c>
      <c r="F420" s="74">
        <v>41</v>
      </c>
      <c r="G420" s="74">
        <v>18</v>
      </c>
      <c r="H420" s="74">
        <v>30</v>
      </c>
      <c r="I420" s="74"/>
      <c r="J420" s="74">
        <v>27</v>
      </c>
      <c r="K420" s="74">
        <v>27</v>
      </c>
      <c r="L420" s="74">
        <v>36</v>
      </c>
      <c r="M420" s="74">
        <v>32</v>
      </c>
      <c r="N420" s="74" t="s">
        <v>427</v>
      </c>
      <c r="O420" s="74">
        <f t="shared" si="209"/>
        <v>117</v>
      </c>
      <c r="P420" s="74">
        <f t="shared" si="210"/>
        <v>122</v>
      </c>
      <c r="Q420" s="74" t="str">
        <f t="shared" si="211"/>
        <v>HW</v>
      </c>
      <c r="R420" s="74" t="str">
        <f t="shared" si="212"/>
        <v>HW</v>
      </c>
      <c r="S420" s="74" t="str">
        <f t="shared" si="213"/>
        <v>HL</v>
      </c>
      <c r="T420" s="74" t="str">
        <f t="shared" si="214"/>
        <v>HL</v>
      </c>
      <c r="U420" s="74" t="str">
        <f t="shared" si="215"/>
        <v>U</v>
      </c>
      <c r="V420" s="74" t="str">
        <f t="shared" si="216"/>
        <v>O</v>
      </c>
      <c r="W420" s="74" t="str">
        <f t="shared" si="217"/>
        <v>U</v>
      </c>
      <c r="X420" s="74" t="str">
        <f t="shared" si="218"/>
        <v>O</v>
      </c>
      <c r="Y420" s="74"/>
      <c r="Z420" s="74">
        <v>60.5</v>
      </c>
      <c r="AB420" s="74" t="str">
        <f t="shared" si="219"/>
        <v>LAC/HOU</v>
      </c>
      <c r="AC420" s="74">
        <f t="shared" si="220"/>
        <v>2</v>
      </c>
      <c r="AD420" s="74">
        <f t="shared" si="221"/>
        <v>2</v>
      </c>
    </row>
    <row r="421" spans="1:30" x14ac:dyDescent="0.3">
      <c r="A421" s="74">
        <v>191221</v>
      </c>
      <c r="B421" s="75">
        <v>0.375</v>
      </c>
      <c r="C421" s="74" t="s">
        <v>402</v>
      </c>
      <c r="D421" s="74" t="s">
        <v>406</v>
      </c>
      <c r="E421" s="74">
        <v>25</v>
      </c>
      <c r="F421" s="74">
        <v>30</v>
      </c>
      <c r="G421" s="74">
        <v>26</v>
      </c>
      <c r="H421" s="74">
        <v>33</v>
      </c>
      <c r="I421" s="74"/>
      <c r="J421" s="74">
        <v>27</v>
      </c>
      <c r="K421" s="74">
        <v>24</v>
      </c>
      <c r="L421" s="74">
        <v>36</v>
      </c>
      <c r="M421" s="74">
        <v>20</v>
      </c>
      <c r="N421" s="74" t="s">
        <v>427</v>
      </c>
      <c r="O421" s="74">
        <f t="shared" si="209"/>
        <v>114</v>
      </c>
      <c r="P421" s="74">
        <f t="shared" si="210"/>
        <v>107</v>
      </c>
      <c r="Q421" s="74" t="str">
        <f t="shared" si="211"/>
        <v>HL</v>
      </c>
      <c r="R421" s="74" t="str">
        <f t="shared" si="212"/>
        <v>HW</v>
      </c>
      <c r="S421" s="74" t="str">
        <f t="shared" si="213"/>
        <v>HL</v>
      </c>
      <c r="T421" s="74" t="str">
        <f t="shared" si="214"/>
        <v>HW</v>
      </c>
      <c r="U421" s="74" t="str">
        <f t="shared" si="215"/>
        <v>U</v>
      </c>
      <c r="V421" s="74" t="str">
        <f t="shared" si="216"/>
        <v>U</v>
      </c>
      <c r="W421" s="74" t="str">
        <f t="shared" si="217"/>
        <v>O</v>
      </c>
      <c r="X421" s="74" t="str">
        <f t="shared" si="218"/>
        <v>U</v>
      </c>
      <c r="Y421" s="74"/>
      <c r="Z421" s="74">
        <v>55</v>
      </c>
      <c r="AB421" s="74" t="str">
        <f t="shared" si="219"/>
        <v>CLE/MEM</v>
      </c>
      <c r="AC421" s="74">
        <f t="shared" si="220"/>
        <v>1</v>
      </c>
      <c r="AD421" s="74">
        <f t="shared" si="221"/>
        <v>3</v>
      </c>
    </row>
    <row r="422" spans="1:30" x14ac:dyDescent="0.3">
      <c r="A422" s="74">
        <v>191221</v>
      </c>
      <c r="B422" s="75">
        <v>0.375</v>
      </c>
      <c r="C422" s="74" t="s">
        <v>400</v>
      </c>
      <c r="D422" s="74" t="s">
        <v>416</v>
      </c>
      <c r="E422" s="74">
        <v>30</v>
      </c>
      <c r="F422" s="74">
        <v>38</v>
      </c>
      <c r="G422" s="74">
        <v>24</v>
      </c>
      <c r="H422" s="74">
        <v>27</v>
      </c>
      <c r="I422" s="74"/>
      <c r="J422" s="74">
        <v>32</v>
      </c>
      <c r="K422" s="74">
        <v>25</v>
      </c>
      <c r="L422" s="74">
        <v>22</v>
      </c>
      <c r="M422" s="74">
        <v>26</v>
      </c>
      <c r="N422" s="74" t="s">
        <v>427</v>
      </c>
      <c r="O422" s="74">
        <f t="shared" si="209"/>
        <v>119</v>
      </c>
      <c r="P422" s="74">
        <f t="shared" si="210"/>
        <v>105</v>
      </c>
      <c r="Q422" s="74" t="str">
        <f t="shared" si="211"/>
        <v>HL</v>
      </c>
      <c r="R422" s="74" t="str">
        <f t="shared" si="212"/>
        <v>HW</v>
      </c>
      <c r="S422" s="74" t="str">
        <f t="shared" si="213"/>
        <v>HW</v>
      </c>
      <c r="T422" s="74" t="str">
        <f t="shared" si="214"/>
        <v>HW</v>
      </c>
      <c r="U422" s="74" t="str">
        <f t="shared" si="215"/>
        <v>O</v>
      </c>
      <c r="V422" s="74" t="str">
        <f t="shared" si="216"/>
        <v>O</v>
      </c>
      <c r="W422" s="74" t="str">
        <f t="shared" si="217"/>
        <v>U</v>
      </c>
      <c r="X422" s="74" t="str">
        <f t="shared" si="218"/>
        <v>U</v>
      </c>
      <c r="Y422" s="74"/>
      <c r="Z422" s="74">
        <v>54</v>
      </c>
      <c r="AB422" s="74" t="str">
        <f t="shared" si="219"/>
        <v>IND/SAC</v>
      </c>
      <c r="AC422" s="74">
        <f t="shared" si="220"/>
        <v>2</v>
      </c>
      <c r="AD422" s="74">
        <f t="shared" si="221"/>
        <v>2</v>
      </c>
    </row>
    <row r="423" spans="1:30" x14ac:dyDescent="0.3">
      <c r="A423" s="74">
        <v>191221</v>
      </c>
      <c r="B423" s="75">
        <v>0.39583333333333331</v>
      </c>
      <c r="C423" s="74" t="s">
        <v>421</v>
      </c>
      <c r="D423" s="74" t="s">
        <v>422</v>
      </c>
      <c r="E423" s="74">
        <v>28</v>
      </c>
      <c r="F423" s="74">
        <v>32</v>
      </c>
      <c r="G423" s="74">
        <v>31</v>
      </c>
      <c r="H423" s="74">
        <v>23</v>
      </c>
      <c r="I423" s="74"/>
      <c r="J423" s="74">
        <v>26</v>
      </c>
      <c r="K423" s="74">
        <v>22</v>
      </c>
      <c r="L423" s="74">
        <v>21</v>
      </c>
      <c r="M423" s="74">
        <v>24</v>
      </c>
      <c r="N423" s="74" t="s">
        <v>427</v>
      </c>
      <c r="O423" s="74">
        <f t="shared" si="209"/>
        <v>114</v>
      </c>
      <c r="P423" s="74">
        <f t="shared" si="210"/>
        <v>93</v>
      </c>
      <c r="Q423" s="74" t="str">
        <f t="shared" si="211"/>
        <v>HW</v>
      </c>
      <c r="R423" s="74" t="str">
        <f t="shared" si="212"/>
        <v>HW</v>
      </c>
      <c r="S423" s="74" t="str">
        <f t="shared" si="213"/>
        <v>HW</v>
      </c>
      <c r="T423" s="74" t="str">
        <f t="shared" si="214"/>
        <v>HL</v>
      </c>
      <c r="U423" s="74" t="str">
        <f t="shared" si="215"/>
        <v>U</v>
      </c>
      <c r="V423" s="74" t="str">
        <f t="shared" si="216"/>
        <v>U</v>
      </c>
      <c r="W423" s="74" t="str">
        <f t="shared" si="217"/>
        <v>U</v>
      </c>
      <c r="X423" s="74" t="str">
        <f t="shared" si="218"/>
        <v>U</v>
      </c>
      <c r="Y423" s="74"/>
      <c r="Z423" s="74">
        <v>54.5</v>
      </c>
      <c r="AB423" s="74" t="str">
        <f t="shared" si="219"/>
        <v>BOS/DET</v>
      </c>
      <c r="AC423" s="74">
        <f t="shared" si="220"/>
        <v>0</v>
      </c>
      <c r="AD423" s="74">
        <f t="shared" si="221"/>
        <v>4</v>
      </c>
    </row>
    <row r="424" spans="1:30" x14ac:dyDescent="0.3">
      <c r="A424" s="74">
        <v>191221</v>
      </c>
      <c r="B424" s="75">
        <v>0.39583333333333331</v>
      </c>
      <c r="C424" s="74" t="s">
        <v>413</v>
      </c>
      <c r="D424" s="74" t="s">
        <v>414</v>
      </c>
      <c r="E424" s="74">
        <v>40</v>
      </c>
      <c r="F424" s="74">
        <v>28</v>
      </c>
      <c r="G424" s="74">
        <v>28</v>
      </c>
      <c r="H424" s="74">
        <v>26</v>
      </c>
      <c r="I424" s="74"/>
      <c r="J424" s="74">
        <v>23</v>
      </c>
      <c r="K424" s="74">
        <v>29</v>
      </c>
      <c r="L424" s="74">
        <v>33</v>
      </c>
      <c r="M424" s="74">
        <v>33</v>
      </c>
      <c r="N424" s="74" t="s">
        <v>427</v>
      </c>
      <c r="O424" s="74">
        <f t="shared" si="209"/>
        <v>122</v>
      </c>
      <c r="P424" s="74">
        <f t="shared" si="210"/>
        <v>118</v>
      </c>
      <c r="Q424" s="74" t="str">
        <f t="shared" si="211"/>
        <v>HW</v>
      </c>
      <c r="R424" s="74" t="str">
        <f t="shared" si="212"/>
        <v>HL</v>
      </c>
      <c r="S424" s="74" t="str">
        <f t="shared" si="213"/>
        <v>HL</v>
      </c>
      <c r="T424" s="74" t="str">
        <f t="shared" si="214"/>
        <v>HL</v>
      </c>
      <c r="U424" s="74" t="str">
        <f t="shared" si="215"/>
        <v>O</v>
      </c>
      <c r="V424" s="74" t="str">
        <f t="shared" si="216"/>
        <v>U</v>
      </c>
      <c r="W424" s="74" t="str">
        <f t="shared" si="217"/>
        <v>O</v>
      </c>
      <c r="X424" s="74" t="str">
        <f t="shared" si="218"/>
        <v>T</v>
      </c>
      <c r="Y424" s="74"/>
      <c r="Z424" s="74">
        <v>59</v>
      </c>
      <c r="AB424" s="74" t="str">
        <f t="shared" si="219"/>
        <v>TOR/WAS</v>
      </c>
      <c r="AC424" s="74">
        <f t="shared" si="220"/>
        <v>2</v>
      </c>
      <c r="AD424" s="74">
        <f t="shared" si="221"/>
        <v>1</v>
      </c>
    </row>
    <row r="425" spans="1:30" x14ac:dyDescent="0.3">
      <c r="A425" s="74">
        <v>191221</v>
      </c>
      <c r="B425" s="75">
        <v>0.41666666666666669</v>
      </c>
      <c r="C425" s="74" t="s">
        <v>411</v>
      </c>
      <c r="D425" s="74" t="s">
        <v>399</v>
      </c>
      <c r="E425" s="74">
        <v>39</v>
      </c>
      <c r="F425" s="74">
        <v>31</v>
      </c>
      <c r="G425" s="74">
        <v>28</v>
      </c>
      <c r="H425" s="74">
        <v>31</v>
      </c>
      <c r="I425" s="74"/>
      <c r="J425" s="74">
        <v>20</v>
      </c>
      <c r="K425" s="74">
        <v>27</v>
      </c>
      <c r="L425" s="74">
        <v>27</v>
      </c>
      <c r="M425" s="74">
        <v>40</v>
      </c>
      <c r="N425" s="74" t="s">
        <v>427</v>
      </c>
      <c r="O425" s="74">
        <f t="shared" si="209"/>
        <v>129</v>
      </c>
      <c r="P425" s="74">
        <f t="shared" si="210"/>
        <v>114</v>
      </c>
      <c r="Q425" s="74" t="str">
        <f t="shared" si="211"/>
        <v>HW</v>
      </c>
      <c r="R425" s="74" t="str">
        <f t="shared" si="212"/>
        <v>HW</v>
      </c>
      <c r="S425" s="74" t="str">
        <f t="shared" si="213"/>
        <v>HW</v>
      </c>
      <c r="T425" s="74" t="str">
        <f t="shared" si="214"/>
        <v>HL</v>
      </c>
      <c r="U425" s="74" t="str">
        <f t="shared" si="215"/>
        <v>O</v>
      </c>
      <c r="V425" s="74" t="str">
        <f t="shared" si="216"/>
        <v>O</v>
      </c>
      <c r="W425" s="74" t="str">
        <f t="shared" si="217"/>
        <v>U</v>
      </c>
      <c r="X425" s="74" t="str">
        <f t="shared" si="218"/>
        <v>O</v>
      </c>
      <c r="Y425" s="74"/>
      <c r="Z425" s="74">
        <v>55.5</v>
      </c>
      <c r="AB425" s="74" t="str">
        <f t="shared" si="219"/>
        <v>MIA/NYK</v>
      </c>
      <c r="AC425" s="74">
        <f t="shared" si="220"/>
        <v>3</v>
      </c>
      <c r="AD425" s="74">
        <f t="shared" si="221"/>
        <v>1</v>
      </c>
    </row>
    <row r="426" spans="1:30" x14ac:dyDescent="0.3">
      <c r="A426" s="74">
        <v>191221</v>
      </c>
      <c r="B426" s="75">
        <v>0.41666666666666669</v>
      </c>
      <c r="C426" s="74" t="s">
        <v>401</v>
      </c>
      <c r="D426" s="74" t="s">
        <v>397</v>
      </c>
      <c r="E426" s="74">
        <v>28</v>
      </c>
      <c r="F426" s="74">
        <v>29</v>
      </c>
      <c r="G426" s="74">
        <v>20</v>
      </c>
      <c r="H426" s="74">
        <v>21</v>
      </c>
      <c r="I426" s="74"/>
      <c r="J426" s="74">
        <v>35</v>
      </c>
      <c r="K426" s="74">
        <v>28</v>
      </c>
      <c r="L426" s="74">
        <v>25</v>
      </c>
      <c r="M426" s="74">
        <v>29</v>
      </c>
      <c r="N426" s="74" t="s">
        <v>427</v>
      </c>
      <c r="O426" s="74">
        <f t="shared" si="209"/>
        <v>98</v>
      </c>
      <c r="P426" s="74">
        <f t="shared" si="210"/>
        <v>117</v>
      </c>
      <c r="Q426" s="74" t="str">
        <f t="shared" si="211"/>
        <v>HL</v>
      </c>
      <c r="R426" s="74" t="str">
        <f t="shared" si="212"/>
        <v>HW</v>
      </c>
      <c r="S426" s="74" t="str">
        <f t="shared" si="213"/>
        <v>HL</v>
      </c>
      <c r="T426" s="74" t="str">
        <f t="shared" si="214"/>
        <v>HL</v>
      </c>
      <c r="U426" s="74" t="str">
        <f t="shared" si="215"/>
        <v>O</v>
      </c>
      <c r="V426" s="74" t="str">
        <f t="shared" si="216"/>
        <v>O</v>
      </c>
      <c r="W426" s="74" t="str">
        <f t="shared" si="217"/>
        <v>U</v>
      </c>
      <c r="X426" s="74" t="str">
        <f t="shared" si="218"/>
        <v>U</v>
      </c>
      <c r="Y426" s="74"/>
      <c r="Z426" s="74">
        <v>54.5</v>
      </c>
      <c r="AB426" s="74" t="str">
        <f t="shared" si="219"/>
        <v>PHI/DAL</v>
      </c>
      <c r="AC426" s="74">
        <f t="shared" si="220"/>
        <v>2</v>
      </c>
      <c r="AD426" s="74">
        <f t="shared" si="221"/>
        <v>2</v>
      </c>
    </row>
    <row r="427" spans="1:30" x14ac:dyDescent="0.3">
      <c r="A427" s="74">
        <v>191221</v>
      </c>
      <c r="B427" s="75">
        <v>0.41666666666666669</v>
      </c>
      <c r="C427" s="74" t="s">
        <v>418</v>
      </c>
      <c r="D427" s="74" t="s">
        <v>404</v>
      </c>
      <c r="E427" s="74">
        <v>26</v>
      </c>
      <c r="F427" s="74">
        <v>31</v>
      </c>
      <c r="G427" s="74">
        <v>44</v>
      </c>
      <c r="H427" s="74">
        <v>25</v>
      </c>
      <c r="I427" s="74"/>
      <c r="J427" s="74">
        <v>23</v>
      </c>
      <c r="K427" s="74">
        <v>27</v>
      </c>
      <c r="L427" s="74">
        <v>41</v>
      </c>
      <c r="M427" s="74">
        <v>17</v>
      </c>
      <c r="N427" s="74" t="s">
        <v>427</v>
      </c>
      <c r="O427" s="74">
        <f t="shared" si="209"/>
        <v>126</v>
      </c>
      <c r="P427" s="74">
        <f t="shared" si="210"/>
        <v>108</v>
      </c>
      <c r="Q427" s="74" t="str">
        <f t="shared" si="211"/>
        <v>HW</v>
      </c>
      <c r="R427" s="74" t="str">
        <f t="shared" si="212"/>
        <v>HW</v>
      </c>
      <c r="S427" s="74" t="str">
        <f t="shared" si="213"/>
        <v>HW</v>
      </c>
      <c r="T427" s="74" t="str">
        <f t="shared" si="214"/>
        <v>HW</v>
      </c>
      <c r="U427" s="74" t="str">
        <f t="shared" si="215"/>
        <v>U</v>
      </c>
      <c r="V427" s="74" t="str">
        <f t="shared" si="216"/>
        <v>O</v>
      </c>
      <c r="W427" s="74" t="str">
        <f t="shared" si="217"/>
        <v>O</v>
      </c>
      <c r="X427" s="74" t="str">
        <f t="shared" si="218"/>
        <v>U</v>
      </c>
      <c r="Y427" s="74"/>
      <c r="Z427" s="74">
        <v>54</v>
      </c>
      <c r="AB427" s="74" t="str">
        <f t="shared" si="219"/>
        <v>OKC/PHO</v>
      </c>
      <c r="AC427" s="74">
        <f t="shared" si="220"/>
        <v>2</v>
      </c>
      <c r="AD427" s="74">
        <f t="shared" si="221"/>
        <v>2</v>
      </c>
    </row>
    <row r="428" spans="1:30" x14ac:dyDescent="0.3">
      <c r="A428" s="74">
        <v>191221</v>
      </c>
      <c r="B428" s="75">
        <v>0.45833333333333331</v>
      </c>
      <c r="C428" s="74" t="s">
        <v>408</v>
      </c>
      <c r="D428" s="74" t="s">
        <v>420</v>
      </c>
      <c r="E428" s="74">
        <v>33</v>
      </c>
      <c r="F428" s="74">
        <v>28</v>
      </c>
      <c r="G428" s="74">
        <v>21</v>
      </c>
      <c r="H428" s="74">
        <v>27</v>
      </c>
      <c r="I428" s="74"/>
      <c r="J428" s="74">
        <v>20</v>
      </c>
      <c r="K428" s="74">
        <v>31</v>
      </c>
      <c r="L428" s="74">
        <v>24</v>
      </c>
      <c r="M428" s="74">
        <v>25</v>
      </c>
      <c r="N428" s="74" t="s">
        <v>427</v>
      </c>
      <c r="O428" s="74">
        <f t="shared" si="209"/>
        <v>109</v>
      </c>
      <c r="P428" s="74">
        <f t="shared" si="210"/>
        <v>100</v>
      </c>
      <c r="Q428" s="74" t="str">
        <f t="shared" si="211"/>
        <v>HW</v>
      </c>
      <c r="R428" s="74" t="str">
        <f t="shared" si="212"/>
        <v>HL</v>
      </c>
      <c r="S428" s="74" t="str">
        <f t="shared" si="213"/>
        <v>HL</v>
      </c>
      <c r="T428" s="74" t="str">
        <f t="shared" si="214"/>
        <v>HW</v>
      </c>
      <c r="U428" s="74" t="str">
        <f t="shared" si="215"/>
        <v>U</v>
      </c>
      <c r="V428" s="74" t="str">
        <f t="shared" si="216"/>
        <v>O</v>
      </c>
      <c r="W428" s="74" t="str">
        <f t="shared" si="217"/>
        <v>U</v>
      </c>
      <c r="X428" s="74" t="str">
        <f t="shared" si="218"/>
        <v>U</v>
      </c>
      <c r="Y428" s="74"/>
      <c r="Z428" s="74">
        <v>55.5</v>
      </c>
      <c r="AB428" s="74" t="str">
        <f t="shared" si="219"/>
        <v>DEN/MIN</v>
      </c>
      <c r="AC428" s="74">
        <f t="shared" si="220"/>
        <v>1</v>
      </c>
      <c r="AD428" s="74">
        <f t="shared" si="221"/>
        <v>3</v>
      </c>
    </row>
    <row r="429" spans="1:30" x14ac:dyDescent="0.3">
      <c r="A429" s="74">
        <v>191221</v>
      </c>
      <c r="B429" s="75">
        <v>0.5</v>
      </c>
      <c r="C429" s="74" t="s">
        <v>417</v>
      </c>
      <c r="D429" s="74" t="s">
        <v>424</v>
      </c>
      <c r="E429" s="74">
        <v>31</v>
      </c>
      <c r="F429" s="74">
        <v>26</v>
      </c>
      <c r="G429" s="74">
        <v>36</v>
      </c>
      <c r="H429" s="74">
        <v>25</v>
      </c>
      <c r="I429" s="74"/>
      <c r="J429" s="74">
        <v>13</v>
      </c>
      <c r="K429" s="74">
        <v>31</v>
      </c>
      <c r="L429" s="74">
        <v>31</v>
      </c>
      <c r="M429" s="74">
        <v>28</v>
      </c>
      <c r="N429" s="74" t="s">
        <v>427</v>
      </c>
      <c r="O429" s="74">
        <f t="shared" si="209"/>
        <v>118</v>
      </c>
      <c r="P429" s="74">
        <f t="shared" si="210"/>
        <v>103</v>
      </c>
      <c r="Q429" s="74" t="str">
        <f t="shared" si="211"/>
        <v>HW</v>
      </c>
      <c r="R429" s="74" t="str">
        <f t="shared" si="212"/>
        <v>HL</v>
      </c>
      <c r="S429" s="74" t="str">
        <f t="shared" si="213"/>
        <v>HW</v>
      </c>
      <c r="T429" s="74" t="str">
        <f t="shared" si="214"/>
        <v>HL</v>
      </c>
      <c r="U429" s="74" t="str">
        <f t="shared" si="215"/>
        <v>U</v>
      </c>
      <c r="V429" s="74" t="str">
        <f t="shared" si="216"/>
        <v>O</v>
      </c>
      <c r="W429" s="74" t="str">
        <f t="shared" si="217"/>
        <v>O</v>
      </c>
      <c r="X429" s="74" t="str">
        <f t="shared" si="218"/>
        <v>U</v>
      </c>
      <c r="Y429" s="74"/>
      <c r="Z429" s="74">
        <v>56</v>
      </c>
      <c r="AB429" s="74" t="str">
        <f t="shared" si="219"/>
        <v>POR/ORL</v>
      </c>
      <c r="AC429" s="74">
        <f t="shared" si="220"/>
        <v>2</v>
      </c>
      <c r="AD429" s="74">
        <f t="shared" si="221"/>
        <v>2</v>
      </c>
    </row>
    <row r="430" spans="1:30" x14ac:dyDescent="0.3">
      <c r="A430" s="74">
        <v>191221</v>
      </c>
      <c r="B430" s="75">
        <v>0.52083333333333337</v>
      </c>
      <c r="C430" s="74" t="s">
        <v>425</v>
      </c>
      <c r="D430" s="74" t="s">
        <v>398</v>
      </c>
      <c r="E430" s="74">
        <v>31</v>
      </c>
      <c r="F430" s="74">
        <v>25</v>
      </c>
      <c r="G430" s="74">
        <v>22</v>
      </c>
      <c r="H430" s="74">
        <v>28</v>
      </c>
      <c r="I430" s="74"/>
      <c r="J430" s="74">
        <v>16</v>
      </c>
      <c r="K430" s="74">
        <v>28</v>
      </c>
      <c r="L430" s="74">
        <v>37</v>
      </c>
      <c r="M430" s="74">
        <v>21</v>
      </c>
      <c r="N430" s="74" t="s">
        <v>427</v>
      </c>
      <c r="O430" s="74">
        <f t="shared" si="209"/>
        <v>106</v>
      </c>
      <c r="P430" s="74">
        <f t="shared" si="210"/>
        <v>102</v>
      </c>
      <c r="Q430" s="74" t="str">
        <f t="shared" si="211"/>
        <v>HW</v>
      </c>
      <c r="R430" s="74" t="str">
        <f t="shared" si="212"/>
        <v>HL</v>
      </c>
      <c r="S430" s="74" t="str">
        <f t="shared" si="213"/>
        <v>HL</v>
      </c>
      <c r="T430" s="74" t="str">
        <f t="shared" si="214"/>
        <v>HW</v>
      </c>
      <c r="U430" s="74" t="str">
        <f t="shared" si="215"/>
        <v>U</v>
      </c>
      <c r="V430" s="74" t="str">
        <f t="shared" si="216"/>
        <v>U</v>
      </c>
      <c r="W430" s="74" t="str">
        <f t="shared" si="217"/>
        <v>O</v>
      </c>
      <c r="X430" s="74" t="str">
        <f t="shared" si="218"/>
        <v>U</v>
      </c>
      <c r="Y430" s="74"/>
      <c r="Z430" s="74">
        <v>57.5</v>
      </c>
      <c r="AB430" s="74" t="str">
        <f t="shared" si="219"/>
        <v>GS/NO</v>
      </c>
      <c r="AC430" s="74">
        <f t="shared" si="220"/>
        <v>1</v>
      </c>
      <c r="AD430" s="74">
        <f t="shared" si="221"/>
        <v>3</v>
      </c>
    </row>
    <row r="431" spans="1:30" x14ac:dyDescent="0.3">
      <c r="A431" s="49">
        <v>191222</v>
      </c>
      <c r="B431" s="51">
        <v>0.29166666666666669</v>
      </c>
      <c r="C431" s="50" t="s">
        <v>428</v>
      </c>
      <c r="D431" s="50" t="s">
        <v>405</v>
      </c>
    </row>
    <row r="432" spans="1:30" x14ac:dyDescent="0.3">
      <c r="A432" s="50">
        <v>191222</v>
      </c>
      <c r="B432" s="51">
        <v>0.33333333333333331</v>
      </c>
      <c r="C432" s="50" t="s">
        <v>407</v>
      </c>
      <c r="D432" s="50" t="s">
        <v>410</v>
      </c>
    </row>
    <row r="433" spans="1:4" x14ac:dyDescent="0.3">
      <c r="A433" s="50">
        <v>191222</v>
      </c>
      <c r="B433" s="51">
        <v>0.375</v>
      </c>
      <c r="C433" s="50" t="s">
        <v>422</v>
      </c>
      <c r="D433" s="50" t="s">
        <v>412</v>
      </c>
    </row>
    <row r="434" spans="1:4" x14ac:dyDescent="0.3">
      <c r="A434" s="50">
        <v>191222</v>
      </c>
      <c r="B434" s="51">
        <v>0.375</v>
      </c>
      <c r="C434" s="50" t="s">
        <v>401</v>
      </c>
      <c r="D434" s="50" t="s">
        <v>414</v>
      </c>
    </row>
    <row r="435" spans="1:4" x14ac:dyDescent="0.3">
      <c r="A435" s="50">
        <v>191222</v>
      </c>
      <c r="B435" s="51">
        <v>0.39583333333333331</v>
      </c>
      <c r="C435" s="50" t="s">
        <v>429</v>
      </c>
      <c r="D435" s="50" t="s">
        <v>423</v>
      </c>
    </row>
    <row r="436" spans="1:4" x14ac:dyDescent="0.3">
      <c r="A436" s="50">
        <v>191222</v>
      </c>
      <c r="B436" s="51">
        <v>0.41666666666666669</v>
      </c>
      <c r="C436" s="50" t="s">
        <v>406</v>
      </c>
      <c r="D436" s="50" t="s">
        <v>416</v>
      </c>
    </row>
    <row r="437" spans="1:4" x14ac:dyDescent="0.3">
      <c r="A437" s="50">
        <v>191222</v>
      </c>
      <c r="B437" s="51">
        <v>0.4375</v>
      </c>
      <c r="C437" s="50" t="s">
        <v>426</v>
      </c>
      <c r="D437" s="50" t="s">
        <v>415</v>
      </c>
    </row>
    <row r="438" spans="1:4" x14ac:dyDescent="0.3">
      <c r="A438" s="50">
        <v>191222</v>
      </c>
      <c r="B438" s="51">
        <v>0.45833333333333331</v>
      </c>
      <c r="C438" s="50" t="s">
        <v>430</v>
      </c>
      <c r="D438" s="50" t="s">
        <v>403</v>
      </c>
    </row>
    <row r="439" spans="1:4" x14ac:dyDescent="0.3">
      <c r="A439" s="50">
        <v>191222</v>
      </c>
      <c r="B439" s="51">
        <v>0.5</v>
      </c>
      <c r="C439" s="50" t="s">
        <v>417</v>
      </c>
      <c r="D439" s="50" t="s">
        <v>420</v>
      </c>
    </row>
  </sheetData>
  <autoFilter ref="AB1:AB4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24"/>
  <sheetViews>
    <sheetView zoomScale="85" zoomScaleNormal="85" workbookViewId="0">
      <pane xSplit="1" ySplit="1" topLeftCell="B11" activePane="bottomRight" state="frozen"/>
      <selection pane="topRight" activeCell="B1" sqref="B1"/>
      <selection pane="bottomLeft" activeCell="A2" sqref="A2"/>
      <selection pane="bottomRight" activeCell="C15" sqref="C15"/>
    </sheetView>
  </sheetViews>
  <sheetFormatPr defaultRowHeight="16.5" x14ac:dyDescent="0.3"/>
  <cols>
    <col min="5" max="8" width="4.5" bestFit="1" customWidth="1"/>
    <col min="9" max="9" width="4.125" bestFit="1" customWidth="1"/>
    <col min="10" max="13" width="4.375" bestFit="1" customWidth="1"/>
    <col min="14" max="14" width="4.125" bestFit="1" customWidth="1"/>
    <col min="27" max="27" width="10.875" bestFit="1" customWidth="1"/>
  </cols>
  <sheetData>
    <row r="1" spans="1:27" s="3" customFormat="1" x14ac:dyDescent="0.45">
      <c r="A1" s="3" t="s">
        <v>0</v>
      </c>
      <c r="B1" s="3" t="s">
        <v>55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24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152</v>
      </c>
    </row>
    <row r="2" spans="1:27" x14ac:dyDescent="0.3">
      <c r="A2" s="74">
        <v>191219</v>
      </c>
      <c r="B2" s="44">
        <v>0.375</v>
      </c>
      <c r="C2" s="74" t="s">
        <v>402</v>
      </c>
      <c r="D2" s="74" t="s">
        <v>409</v>
      </c>
      <c r="E2" s="74">
        <v>29</v>
      </c>
      <c r="F2" s="74">
        <v>24</v>
      </c>
      <c r="G2" s="74">
        <v>23</v>
      </c>
      <c r="H2" s="74">
        <v>24</v>
      </c>
      <c r="I2" s="74"/>
      <c r="J2" s="74">
        <v>21</v>
      </c>
      <c r="K2" s="74">
        <v>20</v>
      </c>
      <c r="L2" s="74">
        <v>23</v>
      </c>
      <c r="M2" s="74">
        <v>34</v>
      </c>
      <c r="N2" s="74" t="s">
        <v>427</v>
      </c>
      <c r="O2" s="74">
        <f t="shared" ref="O2:O24" si="0">SUM(E2:I2)</f>
        <v>100</v>
      </c>
      <c r="P2" s="74">
        <f t="shared" ref="P2:P24" si="1">SUM(J2:N2)</f>
        <v>98</v>
      </c>
      <c r="Q2" s="74" t="str">
        <f t="shared" ref="Q2:Q24" si="2">IF(E2=J2,"TT",IF(E2&gt;J2,"HW","HL"))</f>
        <v>HW</v>
      </c>
      <c r="R2" s="74" t="str">
        <f t="shared" ref="R2:R24" si="3">IF(F2=K2,"TT",IF(F2&gt;K2,"HW","HL"))</f>
        <v>HW</v>
      </c>
      <c r="S2" s="74" t="str">
        <f t="shared" ref="S2:S24" si="4">IF(G2=L2,"TT",IF(G2&gt;L2,"HW","HL"))</f>
        <v>TT</v>
      </c>
      <c r="T2" s="74" t="str">
        <f t="shared" ref="T2:T24" si="5">IF(H2=M2,"TT",IF(H2&gt;M2,"HW","HL"))</f>
        <v>HL</v>
      </c>
      <c r="U2" s="74" t="str">
        <f t="shared" ref="U2:U24" si="6">IF(SUM(E2,J2)=$Z2,"T",IF(SUM(E2,J2)&gt;$Z2,"O","U"))</f>
        <v>U</v>
      </c>
      <c r="V2" s="74" t="str">
        <f t="shared" ref="V2:V24" si="7">IF(SUM(F2,K2)=$Z2,"T",IF(SUM(F2,K2)&gt;$Z2,"O","U"))</f>
        <v>U</v>
      </c>
      <c r="W2" s="74" t="str">
        <f t="shared" ref="W2:W24" si="8">IF(SUM(G2,L2)=$Z2,"T",IF(SUM(G2,L2)&gt;$Z2,"O","U"))</f>
        <v>U</v>
      </c>
      <c r="X2" s="74" t="str">
        <f t="shared" ref="X2:X24" si="9">IF(SUM(H2,M2)=$Z2,"T",IF(SUM(H2,M2)&gt;$Z2,"O","U"))</f>
        <v>O</v>
      </c>
      <c r="Y2" s="74"/>
      <c r="Z2" s="74">
        <v>54.5</v>
      </c>
      <c r="AA2" s="74" t="str">
        <f t="shared" ref="AA2:AA21" si="10">C2&amp;"/"&amp;D2</f>
        <v>CLE/CHA</v>
      </c>
    </row>
    <row r="3" spans="1:27" x14ac:dyDescent="0.3">
      <c r="A3" s="74">
        <v>191219</v>
      </c>
      <c r="B3" s="44">
        <v>0.375</v>
      </c>
      <c r="C3" s="15" t="s">
        <v>422</v>
      </c>
      <c r="D3" s="15" t="s">
        <v>413</v>
      </c>
      <c r="E3" s="74">
        <v>29</v>
      </c>
      <c r="F3" s="74">
        <v>35</v>
      </c>
      <c r="G3" s="74">
        <v>15</v>
      </c>
      <c r="H3" s="74">
        <v>20</v>
      </c>
      <c r="I3" s="74"/>
      <c r="J3" s="74">
        <v>30</v>
      </c>
      <c r="K3" s="74">
        <v>40</v>
      </c>
      <c r="L3" s="74">
        <v>26</v>
      </c>
      <c r="M3" s="74">
        <v>16</v>
      </c>
      <c r="N3" s="74" t="s">
        <v>427</v>
      </c>
      <c r="O3" s="74">
        <f t="shared" si="0"/>
        <v>99</v>
      </c>
      <c r="P3" s="74">
        <f t="shared" si="1"/>
        <v>112</v>
      </c>
      <c r="Q3" s="74" t="str">
        <f t="shared" si="2"/>
        <v>HL</v>
      </c>
      <c r="R3" s="74" t="str">
        <f t="shared" si="3"/>
        <v>HL</v>
      </c>
      <c r="S3" s="74" t="str">
        <f t="shared" si="4"/>
        <v>HL</v>
      </c>
      <c r="T3" s="74" t="str">
        <f t="shared" si="5"/>
        <v>HW</v>
      </c>
      <c r="U3" s="74" t="str">
        <f t="shared" si="6"/>
        <v>O</v>
      </c>
      <c r="V3" s="74" t="str">
        <f t="shared" si="7"/>
        <v>O</v>
      </c>
      <c r="W3" s="74" t="str">
        <f t="shared" si="8"/>
        <v>U</v>
      </c>
      <c r="X3" s="74" t="str">
        <f t="shared" si="9"/>
        <v>U</v>
      </c>
      <c r="Y3" s="74"/>
      <c r="Z3" s="74">
        <v>56</v>
      </c>
      <c r="AA3" s="74" t="str">
        <f t="shared" si="10"/>
        <v>DET/TOR</v>
      </c>
    </row>
    <row r="4" spans="1:27" x14ac:dyDescent="0.3">
      <c r="A4" s="74">
        <v>191219</v>
      </c>
      <c r="B4" s="44">
        <v>0.375</v>
      </c>
      <c r="C4" s="15" t="s">
        <v>401</v>
      </c>
      <c r="D4" s="15" t="s">
        <v>411</v>
      </c>
      <c r="E4" s="74">
        <v>29</v>
      </c>
      <c r="F4" s="74">
        <v>19</v>
      </c>
      <c r="G4" s="74">
        <v>26</v>
      </c>
      <c r="H4" s="74">
        <v>30</v>
      </c>
      <c r="I4" s="74"/>
      <c r="J4" s="74">
        <v>19</v>
      </c>
      <c r="K4" s="74">
        <v>37</v>
      </c>
      <c r="L4" s="74">
        <v>26</v>
      </c>
      <c r="M4" s="74">
        <v>26</v>
      </c>
      <c r="N4" s="74" t="s">
        <v>427</v>
      </c>
      <c r="O4" s="74">
        <f t="shared" si="0"/>
        <v>104</v>
      </c>
      <c r="P4" s="74">
        <f t="shared" si="1"/>
        <v>108</v>
      </c>
      <c r="Q4" s="74" t="str">
        <f t="shared" si="2"/>
        <v>HW</v>
      </c>
      <c r="R4" s="74" t="str">
        <f t="shared" si="3"/>
        <v>HL</v>
      </c>
      <c r="S4" s="74" t="str">
        <f t="shared" si="4"/>
        <v>TT</v>
      </c>
      <c r="T4" s="74" t="str">
        <f t="shared" si="5"/>
        <v>HW</v>
      </c>
      <c r="U4" s="74" t="str">
        <f t="shared" si="6"/>
        <v>U</v>
      </c>
      <c r="V4" s="74" t="str">
        <f t="shared" si="7"/>
        <v>O</v>
      </c>
      <c r="W4" s="74" t="str">
        <f t="shared" si="8"/>
        <v>U</v>
      </c>
      <c r="X4" s="74" t="str">
        <f t="shared" si="9"/>
        <v>O</v>
      </c>
      <c r="Y4" s="74"/>
      <c r="Z4" s="74">
        <v>54.5</v>
      </c>
      <c r="AA4" s="74" t="str">
        <f t="shared" si="10"/>
        <v>PHI/MIA</v>
      </c>
    </row>
    <row r="5" spans="1:27" x14ac:dyDescent="0.3">
      <c r="A5" s="74">
        <v>191219</v>
      </c>
      <c r="B5" s="44">
        <v>0.375</v>
      </c>
      <c r="C5" s="74" t="s">
        <v>414</v>
      </c>
      <c r="D5" s="74" t="s">
        <v>412</v>
      </c>
      <c r="E5" s="74">
        <v>27</v>
      </c>
      <c r="F5" s="74">
        <v>31</v>
      </c>
      <c r="G5" s="74">
        <v>27</v>
      </c>
      <c r="H5" s="74">
        <v>13</v>
      </c>
      <c r="I5" s="74">
        <v>11</v>
      </c>
      <c r="J5" s="74">
        <v>23</v>
      </c>
      <c r="K5" s="74">
        <v>29</v>
      </c>
      <c r="L5" s="74">
        <v>21</v>
      </c>
      <c r="M5" s="74">
        <v>25</v>
      </c>
      <c r="N5" s="74">
        <v>12</v>
      </c>
      <c r="O5" s="74">
        <f t="shared" si="0"/>
        <v>109</v>
      </c>
      <c r="P5" s="74">
        <f t="shared" si="1"/>
        <v>110</v>
      </c>
      <c r="Q5" s="74" t="str">
        <f t="shared" si="2"/>
        <v>HW</v>
      </c>
      <c r="R5" s="74" t="str">
        <f t="shared" si="3"/>
        <v>HW</v>
      </c>
      <c r="S5" s="74" t="str">
        <f t="shared" si="4"/>
        <v>HW</v>
      </c>
      <c r="T5" s="74" t="str">
        <f t="shared" si="5"/>
        <v>HL</v>
      </c>
      <c r="U5" s="74" t="str">
        <f t="shared" si="6"/>
        <v>U</v>
      </c>
      <c r="V5" s="74" t="str">
        <f t="shared" si="7"/>
        <v>O</v>
      </c>
      <c r="W5" s="74" t="str">
        <f t="shared" si="8"/>
        <v>U</v>
      </c>
      <c r="X5" s="74" t="str">
        <f t="shared" si="9"/>
        <v>U</v>
      </c>
      <c r="Y5" s="74"/>
      <c r="Z5" s="74">
        <v>59</v>
      </c>
      <c r="AA5" s="74" t="str">
        <f t="shared" si="10"/>
        <v>WAS/CHI</v>
      </c>
    </row>
    <row r="6" spans="1:27" x14ac:dyDescent="0.3">
      <c r="A6" s="74">
        <v>191219</v>
      </c>
      <c r="B6" s="44">
        <v>0.41666666666666669</v>
      </c>
      <c r="C6" s="15" t="s">
        <v>420</v>
      </c>
      <c r="D6" s="13" t="s">
        <v>398</v>
      </c>
      <c r="E6" s="74">
        <v>25</v>
      </c>
      <c r="F6" s="74">
        <v>25</v>
      </c>
      <c r="G6" s="74">
        <v>22</v>
      </c>
      <c r="H6" s="74">
        <v>27</v>
      </c>
      <c r="I6" s="74"/>
      <c r="J6" s="74">
        <v>32</v>
      </c>
      <c r="K6" s="74">
        <v>31</v>
      </c>
      <c r="L6" s="74">
        <v>24</v>
      </c>
      <c r="M6" s="74">
        <v>20</v>
      </c>
      <c r="N6" s="74" t="s">
        <v>427</v>
      </c>
      <c r="O6" s="74">
        <f t="shared" si="0"/>
        <v>99</v>
      </c>
      <c r="P6" s="74">
        <f t="shared" si="1"/>
        <v>107</v>
      </c>
      <c r="Q6" s="74" t="str">
        <f t="shared" si="2"/>
        <v>HL</v>
      </c>
      <c r="R6" s="74" t="str">
        <f t="shared" si="3"/>
        <v>HL</v>
      </c>
      <c r="S6" s="74" t="str">
        <f t="shared" si="4"/>
        <v>HL</v>
      </c>
      <c r="T6" s="74" t="str">
        <f t="shared" si="5"/>
        <v>HW</v>
      </c>
      <c r="U6" s="74" t="str">
        <f t="shared" si="6"/>
        <v>U</v>
      </c>
      <c r="V6" s="74" t="str">
        <f t="shared" si="7"/>
        <v>U</v>
      </c>
      <c r="W6" s="74" t="str">
        <f t="shared" si="8"/>
        <v>U</v>
      </c>
      <c r="X6" s="74" t="str">
        <f t="shared" si="9"/>
        <v>U</v>
      </c>
      <c r="Y6" s="74"/>
      <c r="Z6" s="74">
        <v>59</v>
      </c>
      <c r="AA6" s="74" t="str">
        <f t="shared" si="10"/>
        <v>MIN/NO</v>
      </c>
    </row>
    <row r="7" spans="1:27" x14ac:dyDescent="0.3">
      <c r="A7" s="74">
        <v>191219</v>
      </c>
      <c r="B7" s="44">
        <v>0.41666666666666669</v>
      </c>
      <c r="C7" s="5" t="s">
        <v>418</v>
      </c>
      <c r="D7" s="5" t="s">
        <v>406</v>
      </c>
      <c r="E7" s="74">
        <v>27</v>
      </c>
      <c r="F7" s="74">
        <v>32</v>
      </c>
      <c r="G7" s="74">
        <v>34</v>
      </c>
      <c r="H7" s="74">
        <v>33</v>
      </c>
      <c r="I7" s="74"/>
      <c r="J7" s="74">
        <v>32</v>
      </c>
      <c r="K7" s="74">
        <v>36</v>
      </c>
      <c r="L7" s="74">
        <v>32</v>
      </c>
      <c r="M7" s="74">
        <v>22</v>
      </c>
      <c r="N7" s="74" t="s">
        <v>427</v>
      </c>
      <c r="O7" s="74">
        <f t="shared" si="0"/>
        <v>126</v>
      </c>
      <c r="P7" s="74">
        <f t="shared" si="1"/>
        <v>122</v>
      </c>
      <c r="Q7" s="74" t="str">
        <f t="shared" si="2"/>
        <v>HL</v>
      </c>
      <c r="R7" s="74" t="str">
        <f t="shared" si="3"/>
        <v>HL</v>
      </c>
      <c r="S7" s="74" t="str">
        <f t="shared" si="4"/>
        <v>HW</v>
      </c>
      <c r="T7" s="74" t="str">
        <f t="shared" si="5"/>
        <v>HW</v>
      </c>
      <c r="U7" s="74" t="str">
        <f t="shared" si="6"/>
        <v>O</v>
      </c>
      <c r="V7" s="74" t="str">
        <f t="shared" si="7"/>
        <v>O</v>
      </c>
      <c r="W7" s="74" t="str">
        <f t="shared" si="8"/>
        <v>O</v>
      </c>
      <c r="X7" s="74" t="str">
        <f t="shared" si="9"/>
        <v>O</v>
      </c>
      <c r="Y7" s="74"/>
      <c r="Z7" s="74">
        <v>54</v>
      </c>
      <c r="AA7" s="74" t="str">
        <f t="shared" si="10"/>
        <v>OKC/MEM</v>
      </c>
    </row>
    <row r="8" spans="1:27" x14ac:dyDescent="0.3">
      <c r="A8" s="74">
        <v>191219</v>
      </c>
      <c r="B8" s="44">
        <v>0.45833333333333331</v>
      </c>
      <c r="C8" s="13" t="s">
        <v>46</v>
      </c>
      <c r="D8" s="15" t="s">
        <v>424</v>
      </c>
      <c r="E8" s="74">
        <v>27</v>
      </c>
      <c r="F8" s="74">
        <v>18</v>
      </c>
      <c r="G8" s="74">
        <v>39</v>
      </c>
      <c r="H8" s="74">
        <v>29</v>
      </c>
      <c r="I8" s="74"/>
      <c r="J8" s="74">
        <v>32</v>
      </c>
      <c r="K8" s="74">
        <v>28</v>
      </c>
      <c r="L8" s="74">
        <v>16</v>
      </c>
      <c r="M8" s="74">
        <v>28</v>
      </c>
      <c r="N8" s="74" t="s">
        <v>427</v>
      </c>
      <c r="O8" s="74">
        <f t="shared" si="0"/>
        <v>113</v>
      </c>
      <c r="P8" s="74">
        <f t="shared" si="1"/>
        <v>104</v>
      </c>
      <c r="Q8" s="74" t="str">
        <f t="shared" si="2"/>
        <v>HL</v>
      </c>
      <c r="R8" s="74" t="str">
        <f t="shared" si="3"/>
        <v>HL</v>
      </c>
      <c r="S8" s="74" t="str">
        <f t="shared" si="4"/>
        <v>HW</v>
      </c>
      <c r="T8" s="74" t="str">
        <f t="shared" si="5"/>
        <v>HW</v>
      </c>
      <c r="U8" s="74" t="str">
        <f t="shared" si="6"/>
        <v>O</v>
      </c>
      <c r="V8" s="74" t="str">
        <f t="shared" si="7"/>
        <v>U</v>
      </c>
      <c r="W8" s="74" t="str">
        <f t="shared" si="8"/>
        <v>O</v>
      </c>
      <c r="X8" s="74" t="str">
        <f t="shared" si="9"/>
        <v>O</v>
      </c>
      <c r="Y8" s="74"/>
      <c r="Z8" s="74">
        <v>52.5</v>
      </c>
      <c r="AA8" s="74" t="str">
        <f t="shared" si="10"/>
        <v>DEN/ORL</v>
      </c>
    </row>
    <row r="9" spans="1:27" x14ac:dyDescent="0.3">
      <c r="A9" s="74">
        <v>191219</v>
      </c>
      <c r="B9" s="44">
        <v>0.47916666666666669</v>
      </c>
      <c r="C9" s="15" t="s">
        <v>98</v>
      </c>
      <c r="D9" s="48" t="s">
        <v>421</v>
      </c>
      <c r="E9" s="74">
        <v>29</v>
      </c>
      <c r="F9" s="74">
        <v>26</v>
      </c>
      <c r="G9" s="74">
        <v>18</v>
      </c>
      <c r="H9" s="74">
        <v>30</v>
      </c>
      <c r="I9" s="74"/>
      <c r="J9" s="74">
        <v>29</v>
      </c>
      <c r="K9" s="74">
        <v>21</v>
      </c>
      <c r="L9" s="74">
        <v>26</v>
      </c>
      <c r="M9" s="74">
        <v>33</v>
      </c>
      <c r="N9" s="74" t="s">
        <v>427</v>
      </c>
      <c r="O9" s="74">
        <f t="shared" si="0"/>
        <v>103</v>
      </c>
      <c r="P9" s="74">
        <f t="shared" si="1"/>
        <v>109</v>
      </c>
      <c r="Q9" s="74" t="str">
        <f t="shared" si="2"/>
        <v>TT</v>
      </c>
      <c r="R9" s="74" t="str">
        <f t="shared" si="3"/>
        <v>HW</v>
      </c>
      <c r="S9" s="74" t="str">
        <f t="shared" si="4"/>
        <v>HL</v>
      </c>
      <c r="T9" s="74" t="str">
        <f t="shared" si="5"/>
        <v>HL</v>
      </c>
      <c r="U9" s="74" t="str">
        <f t="shared" si="6"/>
        <v>O</v>
      </c>
      <c r="V9" s="74" t="str">
        <f t="shared" si="7"/>
        <v>U</v>
      </c>
      <c r="W9" s="74" t="str">
        <f t="shared" si="8"/>
        <v>U</v>
      </c>
      <c r="X9" s="74" t="str">
        <f t="shared" si="9"/>
        <v>O</v>
      </c>
      <c r="Y9" s="74"/>
      <c r="Z9" s="74">
        <v>52.5</v>
      </c>
      <c r="AA9" s="74" t="str">
        <f t="shared" si="10"/>
        <v>DAL/BOS</v>
      </c>
    </row>
    <row r="10" spans="1:27" x14ac:dyDescent="0.3">
      <c r="A10" s="74">
        <v>191219</v>
      </c>
      <c r="B10" s="44">
        <v>0.5</v>
      </c>
      <c r="C10" s="74" t="s">
        <v>417</v>
      </c>
      <c r="D10" s="74" t="s">
        <v>425</v>
      </c>
      <c r="E10" s="74">
        <v>40</v>
      </c>
      <c r="F10" s="74">
        <v>27</v>
      </c>
      <c r="G10" s="74">
        <v>30</v>
      </c>
      <c r="H10" s="74">
        <v>25</v>
      </c>
      <c r="I10" s="74"/>
      <c r="J10" s="74">
        <v>29</v>
      </c>
      <c r="K10" s="74">
        <v>37</v>
      </c>
      <c r="L10" s="74">
        <v>26</v>
      </c>
      <c r="M10" s="74">
        <v>20</v>
      </c>
      <c r="N10" s="74" t="s">
        <v>427</v>
      </c>
      <c r="O10" s="74">
        <f t="shared" si="0"/>
        <v>122</v>
      </c>
      <c r="P10" s="74">
        <f t="shared" si="1"/>
        <v>112</v>
      </c>
      <c r="Q10" s="74" t="str">
        <f t="shared" si="2"/>
        <v>HW</v>
      </c>
      <c r="R10" s="74" t="str">
        <f t="shared" si="3"/>
        <v>HL</v>
      </c>
      <c r="S10" s="74" t="str">
        <f t="shared" si="4"/>
        <v>HW</v>
      </c>
      <c r="T10" s="74" t="str">
        <f t="shared" si="5"/>
        <v>HW</v>
      </c>
      <c r="U10" s="74" t="str">
        <f t="shared" si="6"/>
        <v>O</v>
      </c>
      <c r="V10" s="74" t="str">
        <f t="shared" si="7"/>
        <v>O</v>
      </c>
      <c r="W10" s="74" t="str">
        <f t="shared" si="8"/>
        <v>U</v>
      </c>
      <c r="X10" s="74" t="str">
        <f t="shared" si="9"/>
        <v>U</v>
      </c>
      <c r="Y10" s="74"/>
      <c r="Z10" s="74">
        <v>56.5</v>
      </c>
      <c r="AA10" s="74" t="str">
        <f t="shared" si="10"/>
        <v>POR/GS</v>
      </c>
    </row>
    <row r="11" spans="1:27" x14ac:dyDescent="0.3">
      <c r="A11" s="74">
        <v>191220</v>
      </c>
      <c r="B11" s="75">
        <v>0.39583333333333331</v>
      </c>
      <c r="C11" s="74" t="s">
        <v>410</v>
      </c>
      <c r="D11" s="74" t="s">
        <v>405</v>
      </c>
      <c r="E11" s="74">
        <v>30</v>
      </c>
      <c r="F11" s="74">
        <v>26</v>
      </c>
      <c r="G11" s="74">
        <v>28</v>
      </c>
      <c r="H11" s="74">
        <v>22</v>
      </c>
      <c r="I11" s="74"/>
      <c r="J11" s="74">
        <v>28</v>
      </c>
      <c r="K11" s="74">
        <v>24</v>
      </c>
      <c r="L11" s="74">
        <v>31</v>
      </c>
      <c r="M11" s="74">
        <v>28</v>
      </c>
      <c r="N11" s="74" t="s">
        <v>427</v>
      </c>
      <c r="O11" s="74">
        <f t="shared" si="0"/>
        <v>106</v>
      </c>
      <c r="P11" s="74">
        <f t="shared" si="1"/>
        <v>111</v>
      </c>
      <c r="Q11" s="74" t="str">
        <f t="shared" si="2"/>
        <v>HW</v>
      </c>
      <c r="R11" s="74" t="str">
        <f t="shared" si="3"/>
        <v>HW</v>
      </c>
      <c r="S11" s="74" t="str">
        <f t="shared" si="4"/>
        <v>HL</v>
      </c>
      <c r="T11" s="74" t="str">
        <f t="shared" si="5"/>
        <v>HL</v>
      </c>
      <c r="U11" s="74" t="str">
        <f t="shared" si="6"/>
        <v>O</v>
      </c>
      <c r="V11" s="74" t="str">
        <f t="shared" si="7"/>
        <v>U</v>
      </c>
      <c r="W11" s="74" t="str">
        <f t="shared" si="8"/>
        <v>O</v>
      </c>
      <c r="X11" s="74" t="str">
        <f t="shared" si="9"/>
        <v>U</v>
      </c>
      <c r="Y11" s="74"/>
      <c r="Z11" s="74">
        <v>55</v>
      </c>
      <c r="AA11" s="74" t="str">
        <f t="shared" si="10"/>
        <v>ATL/UTA</v>
      </c>
    </row>
    <row r="12" spans="1:27" x14ac:dyDescent="0.3">
      <c r="A12" s="74">
        <v>191220</v>
      </c>
      <c r="B12" s="75">
        <v>0.41666666666666669</v>
      </c>
      <c r="C12" s="74" t="s">
        <v>423</v>
      </c>
      <c r="D12" s="74" t="s">
        <v>419</v>
      </c>
      <c r="E12" s="74">
        <v>23</v>
      </c>
      <c r="F12" s="74">
        <v>42</v>
      </c>
      <c r="G12" s="74">
        <v>24</v>
      </c>
      <c r="H12" s="74">
        <v>22</v>
      </c>
      <c r="I12" s="74"/>
      <c r="J12" s="74">
        <v>17</v>
      </c>
      <c r="K12" s="74">
        <v>29</v>
      </c>
      <c r="L12" s="74">
        <v>35</v>
      </c>
      <c r="M12" s="74">
        <v>23</v>
      </c>
      <c r="N12" s="74" t="s">
        <v>427</v>
      </c>
      <c r="O12" s="74">
        <f t="shared" si="0"/>
        <v>111</v>
      </c>
      <c r="P12" s="74">
        <f t="shared" si="1"/>
        <v>104</v>
      </c>
      <c r="Q12" s="74" t="str">
        <f t="shared" si="2"/>
        <v>HW</v>
      </c>
      <c r="R12" s="74" t="str">
        <f t="shared" si="3"/>
        <v>HW</v>
      </c>
      <c r="S12" s="74" t="str">
        <f t="shared" si="4"/>
        <v>HL</v>
      </c>
      <c r="T12" s="74" t="str">
        <f t="shared" si="5"/>
        <v>HL</v>
      </c>
      <c r="U12" s="74" t="str">
        <f t="shared" si="6"/>
        <v>U</v>
      </c>
      <c r="V12" s="74" t="str">
        <f t="shared" si="7"/>
        <v>O</v>
      </c>
      <c r="W12" s="74" t="str">
        <f t="shared" si="8"/>
        <v>O</v>
      </c>
      <c r="X12" s="74" t="str">
        <f t="shared" si="9"/>
        <v>U</v>
      </c>
      <c r="Y12" s="74"/>
      <c r="Z12" s="74">
        <v>58.5</v>
      </c>
      <c r="AA12" s="74" t="str">
        <f t="shared" si="10"/>
        <v>MIL/LAL</v>
      </c>
    </row>
    <row r="13" spans="1:27" x14ac:dyDescent="0.3">
      <c r="A13" s="74">
        <v>191220</v>
      </c>
      <c r="B13" s="75">
        <v>0.4375</v>
      </c>
      <c r="C13" s="74" t="s">
        <v>426</v>
      </c>
      <c r="D13" s="74" t="s">
        <v>407</v>
      </c>
      <c r="E13" s="74">
        <v>27</v>
      </c>
      <c r="F13" s="74">
        <v>23</v>
      </c>
      <c r="G13" s="74">
        <v>33</v>
      </c>
      <c r="H13" s="74">
        <v>35</v>
      </c>
      <c r="I13" s="74"/>
      <c r="J13" s="74">
        <v>33</v>
      </c>
      <c r="K13" s="74">
        <v>23</v>
      </c>
      <c r="L13" s="74">
        <v>25</v>
      </c>
      <c r="M13" s="74">
        <v>24</v>
      </c>
      <c r="N13" s="74" t="s">
        <v>427</v>
      </c>
      <c r="O13" s="74">
        <f t="shared" si="0"/>
        <v>118</v>
      </c>
      <c r="P13" s="74">
        <f t="shared" si="1"/>
        <v>105</v>
      </c>
      <c r="Q13" s="74" t="str">
        <f t="shared" si="2"/>
        <v>HL</v>
      </c>
      <c r="R13" s="74" t="str">
        <f t="shared" si="3"/>
        <v>TT</v>
      </c>
      <c r="S13" s="74" t="str">
        <f t="shared" si="4"/>
        <v>HW</v>
      </c>
      <c r="T13" s="74" t="str">
        <f t="shared" si="5"/>
        <v>HW</v>
      </c>
      <c r="U13" s="74" t="str">
        <f t="shared" si="6"/>
        <v>O</v>
      </c>
      <c r="V13" s="74" t="str">
        <f t="shared" si="7"/>
        <v>U</v>
      </c>
      <c r="W13" s="74" t="str">
        <f t="shared" si="8"/>
        <v>O</v>
      </c>
      <c r="X13" s="74" t="str">
        <f t="shared" si="9"/>
        <v>O</v>
      </c>
      <c r="Y13" s="74"/>
      <c r="Z13" s="74">
        <v>53.5</v>
      </c>
      <c r="AA13" s="74" t="str">
        <f t="shared" si="10"/>
        <v>SAS/BKN</v>
      </c>
    </row>
    <row r="14" spans="1:27" x14ac:dyDescent="0.3">
      <c r="A14" s="74">
        <v>191220</v>
      </c>
      <c r="B14" s="75">
        <v>0.52083333333333337</v>
      </c>
      <c r="C14" s="74" t="s">
        <v>415</v>
      </c>
      <c r="D14" s="74" t="s">
        <v>403</v>
      </c>
      <c r="E14" s="74">
        <v>28</v>
      </c>
      <c r="F14" s="74">
        <v>41</v>
      </c>
      <c r="G14" s="74">
        <v>18</v>
      </c>
      <c r="H14" s="74">
        <v>30</v>
      </c>
      <c r="I14" s="74"/>
      <c r="J14" s="74">
        <v>27</v>
      </c>
      <c r="K14" s="74">
        <v>27</v>
      </c>
      <c r="L14" s="74">
        <v>36</v>
      </c>
      <c r="M14" s="74">
        <v>32</v>
      </c>
      <c r="N14" s="74" t="s">
        <v>427</v>
      </c>
      <c r="O14" s="74">
        <f t="shared" si="0"/>
        <v>117</v>
      </c>
      <c r="P14" s="74">
        <f t="shared" si="1"/>
        <v>122</v>
      </c>
      <c r="Q14" s="74" t="str">
        <f t="shared" si="2"/>
        <v>HW</v>
      </c>
      <c r="R14" s="74" t="str">
        <f t="shared" si="3"/>
        <v>HW</v>
      </c>
      <c r="S14" s="74" t="str">
        <f t="shared" si="4"/>
        <v>HL</v>
      </c>
      <c r="T14" s="74" t="str">
        <f t="shared" si="5"/>
        <v>HL</v>
      </c>
      <c r="U14" s="74" t="str">
        <f t="shared" si="6"/>
        <v>U</v>
      </c>
      <c r="V14" s="74" t="str">
        <f t="shared" si="7"/>
        <v>O</v>
      </c>
      <c r="W14" s="74" t="str">
        <f t="shared" si="8"/>
        <v>U</v>
      </c>
      <c r="X14" s="74" t="str">
        <f t="shared" si="9"/>
        <v>O</v>
      </c>
      <c r="Y14" s="74"/>
      <c r="Z14" s="74">
        <v>60.5</v>
      </c>
      <c r="AA14" s="74" t="str">
        <f t="shared" si="10"/>
        <v>LAC/HOU</v>
      </c>
    </row>
    <row r="15" spans="1:27" x14ac:dyDescent="0.3">
      <c r="A15" s="74">
        <v>191221</v>
      </c>
      <c r="B15" s="75">
        <v>0.375</v>
      </c>
      <c r="C15" s="74" t="s">
        <v>402</v>
      </c>
      <c r="D15" s="74" t="s">
        <v>406</v>
      </c>
      <c r="E15" s="74">
        <v>25</v>
      </c>
      <c r="F15" s="74">
        <v>30</v>
      </c>
      <c r="G15" s="74">
        <v>26</v>
      </c>
      <c r="H15" s="74">
        <v>33</v>
      </c>
      <c r="I15" s="74"/>
      <c r="J15" s="74">
        <v>27</v>
      </c>
      <c r="K15" s="74">
        <v>24</v>
      </c>
      <c r="L15" s="74">
        <v>36</v>
      </c>
      <c r="M15" s="74">
        <v>20</v>
      </c>
      <c r="N15" s="74" t="s">
        <v>427</v>
      </c>
      <c r="O15" s="74">
        <f t="shared" si="0"/>
        <v>114</v>
      </c>
      <c r="P15" s="74">
        <f t="shared" si="1"/>
        <v>107</v>
      </c>
      <c r="Q15" s="74" t="str">
        <f t="shared" si="2"/>
        <v>HL</v>
      </c>
      <c r="R15" s="74" t="str">
        <f t="shared" si="3"/>
        <v>HW</v>
      </c>
      <c r="S15" s="74" t="str">
        <f t="shared" si="4"/>
        <v>HL</v>
      </c>
      <c r="T15" s="74" t="str">
        <f t="shared" si="5"/>
        <v>HW</v>
      </c>
      <c r="U15" s="74" t="str">
        <f t="shared" si="6"/>
        <v>U</v>
      </c>
      <c r="V15" s="74" t="str">
        <f t="shared" si="7"/>
        <v>U</v>
      </c>
      <c r="W15" s="74" t="str">
        <f t="shared" si="8"/>
        <v>O</v>
      </c>
      <c r="X15" s="74" t="str">
        <f t="shared" si="9"/>
        <v>U</v>
      </c>
      <c r="Y15" s="74"/>
      <c r="Z15" s="74">
        <v>55</v>
      </c>
      <c r="AA15" s="74" t="str">
        <f t="shared" si="10"/>
        <v>CLE/MEM</v>
      </c>
    </row>
    <row r="16" spans="1:27" x14ac:dyDescent="0.3">
      <c r="A16" s="74">
        <v>191221</v>
      </c>
      <c r="B16" s="75">
        <v>0.375</v>
      </c>
      <c r="C16" s="74" t="s">
        <v>400</v>
      </c>
      <c r="D16" s="74" t="s">
        <v>416</v>
      </c>
      <c r="E16" s="74">
        <v>30</v>
      </c>
      <c r="F16" s="74">
        <v>38</v>
      </c>
      <c r="G16" s="74">
        <v>24</v>
      </c>
      <c r="H16" s="74">
        <v>27</v>
      </c>
      <c r="I16" s="74"/>
      <c r="J16" s="74">
        <v>32</v>
      </c>
      <c r="K16" s="74">
        <v>25</v>
      </c>
      <c r="L16" s="74">
        <v>22</v>
      </c>
      <c r="M16" s="74">
        <v>26</v>
      </c>
      <c r="N16" s="74" t="s">
        <v>427</v>
      </c>
      <c r="O16" s="74">
        <f t="shared" si="0"/>
        <v>119</v>
      </c>
      <c r="P16" s="74">
        <f t="shared" si="1"/>
        <v>105</v>
      </c>
      <c r="Q16" s="74" t="str">
        <f t="shared" si="2"/>
        <v>HL</v>
      </c>
      <c r="R16" s="74" t="str">
        <f t="shared" si="3"/>
        <v>HW</v>
      </c>
      <c r="S16" s="74" t="str">
        <f t="shared" si="4"/>
        <v>HW</v>
      </c>
      <c r="T16" s="74" t="str">
        <f t="shared" si="5"/>
        <v>HW</v>
      </c>
      <c r="U16" s="74" t="str">
        <f t="shared" si="6"/>
        <v>O</v>
      </c>
      <c r="V16" s="74" t="str">
        <f t="shared" si="7"/>
        <v>O</v>
      </c>
      <c r="W16" s="74" t="str">
        <f t="shared" si="8"/>
        <v>U</v>
      </c>
      <c r="X16" s="74" t="str">
        <f t="shared" si="9"/>
        <v>U</v>
      </c>
      <c r="Y16" s="74"/>
      <c r="Z16" s="74">
        <v>54</v>
      </c>
      <c r="AA16" s="74" t="str">
        <f t="shared" si="10"/>
        <v>IND/SAC</v>
      </c>
    </row>
    <row r="17" spans="1:27" x14ac:dyDescent="0.3">
      <c r="A17" s="74">
        <v>191221</v>
      </c>
      <c r="B17" s="75">
        <v>0.39583333333333331</v>
      </c>
      <c r="C17" s="74" t="s">
        <v>421</v>
      </c>
      <c r="D17" s="74" t="s">
        <v>422</v>
      </c>
      <c r="E17" s="74">
        <v>28</v>
      </c>
      <c r="F17" s="74">
        <v>32</v>
      </c>
      <c r="G17" s="74">
        <v>31</v>
      </c>
      <c r="H17" s="74">
        <v>23</v>
      </c>
      <c r="I17" s="74"/>
      <c r="J17" s="74">
        <v>26</v>
      </c>
      <c r="K17" s="74">
        <v>22</v>
      </c>
      <c r="L17" s="74">
        <v>21</v>
      </c>
      <c r="M17" s="74">
        <v>24</v>
      </c>
      <c r="N17" s="74" t="s">
        <v>427</v>
      </c>
      <c r="O17" s="74">
        <f t="shared" si="0"/>
        <v>114</v>
      </c>
      <c r="P17" s="74">
        <f t="shared" si="1"/>
        <v>93</v>
      </c>
      <c r="Q17" s="74" t="str">
        <f t="shared" si="2"/>
        <v>HW</v>
      </c>
      <c r="R17" s="74" t="str">
        <f t="shared" si="3"/>
        <v>HW</v>
      </c>
      <c r="S17" s="74" t="str">
        <f t="shared" si="4"/>
        <v>HW</v>
      </c>
      <c r="T17" s="74" t="str">
        <f t="shared" si="5"/>
        <v>HL</v>
      </c>
      <c r="U17" s="74" t="str">
        <f t="shared" si="6"/>
        <v>U</v>
      </c>
      <c r="V17" s="74" t="str">
        <f t="shared" si="7"/>
        <v>U</v>
      </c>
      <c r="W17" s="74" t="str">
        <f t="shared" si="8"/>
        <v>U</v>
      </c>
      <c r="X17" s="74" t="str">
        <f t="shared" si="9"/>
        <v>U</v>
      </c>
      <c r="Y17" s="74"/>
      <c r="Z17" s="74">
        <v>54.5</v>
      </c>
      <c r="AA17" s="74" t="str">
        <f t="shared" si="10"/>
        <v>BOS/DET</v>
      </c>
    </row>
    <row r="18" spans="1:27" x14ac:dyDescent="0.3">
      <c r="A18" s="74">
        <v>191221</v>
      </c>
      <c r="B18" s="75">
        <v>0.39583333333333331</v>
      </c>
      <c r="C18" s="74" t="s">
        <v>413</v>
      </c>
      <c r="D18" s="74" t="s">
        <v>414</v>
      </c>
      <c r="E18" s="74">
        <v>40</v>
      </c>
      <c r="F18" s="74">
        <v>28</v>
      </c>
      <c r="G18" s="74">
        <v>28</v>
      </c>
      <c r="H18" s="74">
        <v>26</v>
      </c>
      <c r="I18" s="74"/>
      <c r="J18" s="74">
        <v>23</v>
      </c>
      <c r="K18" s="74">
        <v>29</v>
      </c>
      <c r="L18" s="74">
        <v>33</v>
      </c>
      <c r="M18" s="74">
        <v>33</v>
      </c>
      <c r="N18" s="74" t="s">
        <v>427</v>
      </c>
      <c r="O18" s="74">
        <f t="shared" si="0"/>
        <v>122</v>
      </c>
      <c r="P18" s="74">
        <f t="shared" si="1"/>
        <v>118</v>
      </c>
      <c r="Q18" s="74" t="str">
        <f t="shared" si="2"/>
        <v>HW</v>
      </c>
      <c r="R18" s="74" t="str">
        <f t="shared" si="3"/>
        <v>HL</v>
      </c>
      <c r="S18" s="74" t="str">
        <f t="shared" si="4"/>
        <v>HL</v>
      </c>
      <c r="T18" s="74" t="str">
        <f t="shared" si="5"/>
        <v>HL</v>
      </c>
      <c r="U18" s="74" t="str">
        <f t="shared" si="6"/>
        <v>O</v>
      </c>
      <c r="V18" s="74" t="str">
        <f t="shared" si="7"/>
        <v>U</v>
      </c>
      <c r="W18" s="74" t="str">
        <f t="shared" si="8"/>
        <v>O</v>
      </c>
      <c r="X18" s="74" t="str">
        <f t="shared" si="9"/>
        <v>T</v>
      </c>
      <c r="Y18" s="74"/>
      <c r="Z18" s="74">
        <v>59</v>
      </c>
      <c r="AA18" s="74" t="str">
        <f t="shared" si="10"/>
        <v>TOR/WAS</v>
      </c>
    </row>
    <row r="19" spans="1:27" x14ac:dyDescent="0.3">
      <c r="A19" s="74">
        <v>191221</v>
      </c>
      <c r="B19" s="75">
        <v>0.41666666666666669</v>
      </c>
      <c r="C19" s="74" t="s">
        <v>411</v>
      </c>
      <c r="D19" s="74" t="s">
        <v>399</v>
      </c>
      <c r="E19" s="74">
        <v>39</v>
      </c>
      <c r="F19" s="74">
        <v>31</v>
      </c>
      <c r="G19" s="74">
        <v>28</v>
      </c>
      <c r="H19" s="74">
        <v>31</v>
      </c>
      <c r="I19" s="74"/>
      <c r="J19" s="74">
        <v>20</v>
      </c>
      <c r="K19" s="74">
        <v>27</v>
      </c>
      <c r="L19" s="74">
        <v>27</v>
      </c>
      <c r="M19" s="74">
        <v>40</v>
      </c>
      <c r="N19" s="74" t="s">
        <v>427</v>
      </c>
      <c r="O19" s="74">
        <f t="shared" si="0"/>
        <v>129</v>
      </c>
      <c r="P19" s="74">
        <f t="shared" si="1"/>
        <v>114</v>
      </c>
      <c r="Q19" s="74" t="str">
        <f t="shared" si="2"/>
        <v>HW</v>
      </c>
      <c r="R19" s="74" t="str">
        <f t="shared" si="3"/>
        <v>HW</v>
      </c>
      <c r="S19" s="74" t="str">
        <f t="shared" si="4"/>
        <v>HW</v>
      </c>
      <c r="T19" s="74" t="str">
        <f t="shared" si="5"/>
        <v>HL</v>
      </c>
      <c r="U19" s="74" t="str">
        <f t="shared" si="6"/>
        <v>O</v>
      </c>
      <c r="V19" s="74" t="str">
        <f t="shared" si="7"/>
        <v>O</v>
      </c>
      <c r="W19" s="74" t="str">
        <f t="shared" si="8"/>
        <v>U</v>
      </c>
      <c r="X19" s="74" t="str">
        <f t="shared" si="9"/>
        <v>O</v>
      </c>
      <c r="Y19" s="74"/>
      <c r="Z19" s="74">
        <v>55.5</v>
      </c>
      <c r="AA19" s="74" t="str">
        <f t="shared" si="10"/>
        <v>MIA/NYK</v>
      </c>
    </row>
    <row r="20" spans="1:27" x14ac:dyDescent="0.3">
      <c r="A20" s="74">
        <v>191221</v>
      </c>
      <c r="B20" s="75">
        <v>0.41666666666666669</v>
      </c>
      <c r="C20" s="74" t="s">
        <v>401</v>
      </c>
      <c r="D20" s="74" t="s">
        <v>397</v>
      </c>
      <c r="E20" s="74">
        <v>28</v>
      </c>
      <c r="F20" s="74">
        <v>29</v>
      </c>
      <c r="G20" s="74">
        <v>20</v>
      </c>
      <c r="H20" s="74">
        <v>21</v>
      </c>
      <c r="I20" s="74"/>
      <c r="J20" s="74">
        <v>35</v>
      </c>
      <c r="K20" s="74">
        <v>28</v>
      </c>
      <c r="L20" s="74">
        <v>25</v>
      </c>
      <c r="M20" s="74">
        <v>29</v>
      </c>
      <c r="N20" s="74" t="s">
        <v>427</v>
      </c>
      <c r="O20" s="74">
        <f t="shared" si="0"/>
        <v>98</v>
      </c>
      <c r="P20" s="74">
        <f t="shared" si="1"/>
        <v>117</v>
      </c>
      <c r="Q20" s="74" t="str">
        <f t="shared" si="2"/>
        <v>HL</v>
      </c>
      <c r="R20" s="74" t="str">
        <f t="shared" si="3"/>
        <v>HW</v>
      </c>
      <c r="S20" s="74" t="str">
        <f t="shared" si="4"/>
        <v>HL</v>
      </c>
      <c r="T20" s="74" t="str">
        <f t="shared" si="5"/>
        <v>HL</v>
      </c>
      <c r="U20" s="74" t="str">
        <f t="shared" si="6"/>
        <v>O</v>
      </c>
      <c r="V20" s="74" t="str">
        <f t="shared" si="7"/>
        <v>O</v>
      </c>
      <c r="W20" s="74" t="str">
        <f t="shared" si="8"/>
        <v>U</v>
      </c>
      <c r="X20" s="74" t="str">
        <f t="shared" si="9"/>
        <v>U</v>
      </c>
      <c r="Y20" s="74"/>
      <c r="Z20" s="74">
        <v>54.5</v>
      </c>
      <c r="AA20" s="74" t="str">
        <f t="shared" si="10"/>
        <v>PHI/DAL</v>
      </c>
    </row>
    <row r="21" spans="1:27" x14ac:dyDescent="0.3">
      <c r="A21" s="74">
        <v>191221</v>
      </c>
      <c r="B21" s="75">
        <v>0.41666666666666669</v>
      </c>
      <c r="C21" s="74" t="s">
        <v>418</v>
      </c>
      <c r="D21" s="74" t="s">
        <v>404</v>
      </c>
      <c r="E21" s="74">
        <v>26</v>
      </c>
      <c r="F21" s="74">
        <v>31</v>
      </c>
      <c r="G21" s="74">
        <v>44</v>
      </c>
      <c r="H21" s="74">
        <v>25</v>
      </c>
      <c r="I21" s="74"/>
      <c r="J21" s="74">
        <v>23</v>
      </c>
      <c r="K21" s="74">
        <v>27</v>
      </c>
      <c r="L21" s="74">
        <v>41</v>
      </c>
      <c r="M21" s="74">
        <v>17</v>
      </c>
      <c r="N21" s="74" t="s">
        <v>427</v>
      </c>
      <c r="O21" s="74">
        <f t="shared" si="0"/>
        <v>126</v>
      </c>
      <c r="P21" s="74">
        <f t="shared" si="1"/>
        <v>108</v>
      </c>
      <c r="Q21" s="74" t="str">
        <f t="shared" si="2"/>
        <v>HW</v>
      </c>
      <c r="R21" s="74" t="str">
        <f t="shared" si="3"/>
        <v>HW</v>
      </c>
      <c r="S21" s="74" t="str">
        <f t="shared" si="4"/>
        <v>HW</v>
      </c>
      <c r="T21" s="74" t="str">
        <f t="shared" si="5"/>
        <v>HW</v>
      </c>
      <c r="U21" s="74" t="str">
        <f t="shared" si="6"/>
        <v>U</v>
      </c>
      <c r="V21" s="74" t="str">
        <f t="shared" si="7"/>
        <v>O</v>
      </c>
      <c r="W21" s="74" t="str">
        <f t="shared" si="8"/>
        <v>O</v>
      </c>
      <c r="X21" s="74" t="str">
        <f t="shared" si="9"/>
        <v>U</v>
      </c>
      <c r="Y21" s="74"/>
      <c r="Z21" s="74">
        <v>54</v>
      </c>
      <c r="AA21" s="74" t="str">
        <f t="shared" si="10"/>
        <v>OKC/PHO</v>
      </c>
    </row>
    <row r="22" spans="1:27" x14ac:dyDescent="0.3">
      <c r="A22" s="74">
        <v>191221</v>
      </c>
      <c r="B22" s="75">
        <v>0.45833333333333331</v>
      </c>
      <c r="C22" s="74" t="s">
        <v>408</v>
      </c>
      <c r="D22" s="74" t="s">
        <v>420</v>
      </c>
      <c r="E22" s="74">
        <v>33</v>
      </c>
      <c r="F22" s="74">
        <v>28</v>
      </c>
      <c r="G22" s="74">
        <v>21</v>
      </c>
      <c r="H22" s="74">
        <v>27</v>
      </c>
      <c r="I22" s="74"/>
      <c r="J22" s="74">
        <v>20</v>
      </c>
      <c r="K22" s="74">
        <v>31</v>
      </c>
      <c r="L22" s="74">
        <v>24</v>
      </c>
      <c r="M22" s="74">
        <v>25</v>
      </c>
      <c r="N22" s="74" t="s">
        <v>427</v>
      </c>
      <c r="O22" s="74">
        <f t="shared" si="0"/>
        <v>109</v>
      </c>
      <c r="P22" s="74">
        <f t="shared" si="1"/>
        <v>100</v>
      </c>
      <c r="Q22" s="74" t="str">
        <f t="shared" si="2"/>
        <v>HW</v>
      </c>
      <c r="R22" s="74" t="str">
        <f t="shared" si="3"/>
        <v>HL</v>
      </c>
      <c r="S22" s="74" t="str">
        <f t="shared" si="4"/>
        <v>HL</v>
      </c>
      <c r="T22" s="74" t="str">
        <f t="shared" si="5"/>
        <v>HW</v>
      </c>
      <c r="U22" s="74" t="str">
        <f t="shared" si="6"/>
        <v>U</v>
      </c>
      <c r="V22" s="74" t="str">
        <f t="shared" si="7"/>
        <v>O</v>
      </c>
      <c r="W22" s="74" t="str">
        <f t="shared" si="8"/>
        <v>U</v>
      </c>
      <c r="X22" s="74" t="str">
        <f t="shared" si="9"/>
        <v>U</v>
      </c>
      <c r="Y22" s="74"/>
      <c r="Z22" s="74">
        <v>55.5</v>
      </c>
      <c r="AA22" s="74" t="str">
        <f t="shared" ref="AA22:AA24" si="11">C22&amp;"/"&amp;D22</f>
        <v>DEN/MIN</v>
      </c>
    </row>
    <row r="23" spans="1:27" x14ac:dyDescent="0.3">
      <c r="A23" s="74">
        <v>191221</v>
      </c>
      <c r="B23" s="75">
        <v>0.5</v>
      </c>
      <c r="C23" s="74" t="s">
        <v>417</v>
      </c>
      <c r="D23" s="74" t="s">
        <v>424</v>
      </c>
      <c r="E23" s="74">
        <v>31</v>
      </c>
      <c r="F23" s="74">
        <v>26</v>
      </c>
      <c r="G23" s="74">
        <v>36</v>
      </c>
      <c r="H23" s="74">
        <v>25</v>
      </c>
      <c r="I23" s="74"/>
      <c r="J23" s="74">
        <v>13</v>
      </c>
      <c r="K23" s="74">
        <v>31</v>
      </c>
      <c r="L23" s="74">
        <v>31</v>
      </c>
      <c r="M23" s="74">
        <v>28</v>
      </c>
      <c r="N23" s="74" t="s">
        <v>427</v>
      </c>
      <c r="O23" s="74">
        <f t="shared" si="0"/>
        <v>118</v>
      </c>
      <c r="P23" s="74">
        <f t="shared" si="1"/>
        <v>103</v>
      </c>
      <c r="Q23" s="74" t="str">
        <f t="shared" si="2"/>
        <v>HW</v>
      </c>
      <c r="R23" s="74" t="str">
        <f t="shared" si="3"/>
        <v>HL</v>
      </c>
      <c r="S23" s="74" t="str">
        <f t="shared" si="4"/>
        <v>HW</v>
      </c>
      <c r="T23" s="74" t="str">
        <f t="shared" si="5"/>
        <v>HL</v>
      </c>
      <c r="U23" s="74" t="str">
        <f t="shared" si="6"/>
        <v>U</v>
      </c>
      <c r="V23" s="74" t="str">
        <f t="shared" si="7"/>
        <v>O</v>
      </c>
      <c r="W23" s="74" t="str">
        <f t="shared" si="8"/>
        <v>O</v>
      </c>
      <c r="X23" s="74" t="str">
        <f t="shared" si="9"/>
        <v>U</v>
      </c>
      <c r="Y23" s="74"/>
      <c r="Z23" s="74">
        <v>56</v>
      </c>
      <c r="AA23" s="74" t="str">
        <f t="shared" si="11"/>
        <v>POR/ORL</v>
      </c>
    </row>
    <row r="24" spans="1:27" x14ac:dyDescent="0.3">
      <c r="A24" s="74">
        <v>191221</v>
      </c>
      <c r="B24" s="75">
        <v>0.52083333333333337</v>
      </c>
      <c r="C24" s="74" t="s">
        <v>425</v>
      </c>
      <c r="D24" s="74" t="s">
        <v>398</v>
      </c>
      <c r="E24" s="74">
        <v>31</v>
      </c>
      <c r="F24" s="74">
        <v>25</v>
      </c>
      <c r="G24" s="74">
        <v>22</v>
      </c>
      <c r="H24" s="74">
        <v>28</v>
      </c>
      <c r="I24" s="74"/>
      <c r="J24" s="74">
        <v>16</v>
      </c>
      <c r="K24" s="74">
        <v>28</v>
      </c>
      <c r="L24" s="74">
        <v>37</v>
      </c>
      <c r="M24" s="74">
        <v>21</v>
      </c>
      <c r="N24" s="74" t="s">
        <v>427</v>
      </c>
      <c r="O24" s="74">
        <f t="shared" si="0"/>
        <v>106</v>
      </c>
      <c r="P24" s="74">
        <f t="shared" si="1"/>
        <v>102</v>
      </c>
      <c r="Q24" s="74" t="str">
        <f t="shared" si="2"/>
        <v>HW</v>
      </c>
      <c r="R24" s="74" t="str">
        <f t="shared" si="3"/>
        <v>HL</v>
      </c>
      <c r="S24" s="74" t="str">
        <f t="shared" si="4"/>
        <v>HL</v>
      </c>
      <c r="T24" s="74" t="str">
        <f t="shared" si="5"/>
        <v>HW</v>
      </c>
      <c r="U24" s="74" t="str">
        <f t="shared" si="6"/>
        <v>U</v>
      </c>
      <c r="V24" s="74" t="str">
        <f t="shared" si="7"/>
        <v>U</v>
      </c>
      <c r="W24" s="74" t="str">
        <f t="shared" si="8"/>
        <v>O</v>
      </c>
      <c r="X24" s="74" t="str">
        <f t="shared" si="9"/>
        <v>U</v>
      </c>
      <c r="Y24" s="74"/>
      <c r="Z24" s="74">
        <v>57.5</v>
      </c>
      <c r="AA24" s="74" t="str">
        <f t="shared" si="11"/>
        <v>GS/NO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T</vt:lpstr>
      <vt:lpstr>T (2)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2019-10-26T09:51:06Z</dcterms:created>
  <dcterms:modified xsi:type="dcterms:W3CDTF">2019-12-21T17:21:06Z</dcterms:modified>
</cp:coreProperties>
</file>